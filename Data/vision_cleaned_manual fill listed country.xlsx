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Projects\SUPERFUNdProject\Data\"/>
    </mc:Choice>
  </mc:AlternateContent>
  <xr:revisionPtr revIDLastSave="0" documentId="13_ncr:1_{30DA5C8A-D11B-4185-9D1F-87C5D5D84B4E}" xr6:coauthVersionLast="47" xr6:coauthVersionMax="47" xr10:uidLastSave="{00000000-0000-0000-0000-000000000000}"/>
  <bookViews>
    <workbookView xWindow="38280" yWindow="-120" windowWidth="29040" windowHeight="15720" xr2:uid="{AAD4E826-BAEB-49EF-BDB0-04D37C65F545}"/>
  </bookViews>
  <sheets>
    <sheet name="vision_cleaned" sheetId="1" r:id="rId1"/>
    <sheet name="Sheet1" sheetId="2" r:id="rId2"/>
  </sheets>
  <definedNames>
    <definedName name="_xlnm._FilterDatabase" localSheetId="1" hidden="1">Sheet1!$B$1:$E$936</definedName>
    <definedName name="_xlnm._FilterDatabase" localSheetId="0" hidden="1">vision_cleaned!$A$1:$N$1041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7" i="1"/>
  <c r="I92" i="1"/>
  <c r="I103" i="1"/>
  <c r="I108" i="1"/>
  <c r="I119" i="1"/>
  <c r="I124" i="1"/>
  <c r="I135" i="1"/>
  <c r="I140" i="1"/>
  <c r="I151" i="1"/>
  <c r="I156" i="1"/>
  <c r="I167" i="1"/>
  <c r="I172" i="1"/>
  <c r="I183" i="1"/>
  <c r="I188" i="1"/>
  <c r="I199" i="1"/>
  <c r="I204" i="1"/>
  <c r="I215" i="1"/>
  <c r="I220" i="1"/>
  <c r="I231" i="1"/>
  <c r="I236" i="1"/>
  <c r="I247" i="1"/>
  <c r="I252" i="1"/>
  <c r="I263" i="1"/>
  <c r="I268" i="1"/>
  <c r="I279" i="1"/>
  <c r="I284" i="1"/>
  <c r="I295" i="1"/>
  <c r="I300" i="1"/>
  <c r="I311" i="1"/>
  <c r="I316" i="1"/>
  <c r="I327" i="1"/>
  <c r="I332" i="1"/>
  <c r="I343" i="1"/>
  <c r="I348" i="1"/>
  <c r="I359" i="1"/>
  <c r="I364" i="1"/>
  <c r="I375" i="1"/>
  <c r="I380" i="1"/>
  <c r="I391" i="1"/>
  <c r="I396" i="1"/>
  <c r="I407" i="1"/>
  <c r="I412" i="1"/>
  <c r="I423" i="1"/>
  <c r="I428" i="1"/>
  <c r="I439" i="1"/>
  <c r="I444" i="1"/>
  <c r="I455" i="1"/>
  <c r="I460" i="1"/>
  <c r="I471" i="1"/>
  <c r="I476" i="1"/>
  <c r="I487" i="1"/>
  <c r="I492" i="1"/>
  <c r="I503" i="1"/>
  <c r="I508" i="1"/>
  <c r="I519" i="1"/>
  <c r="I524" i="1"/>
  <c r="I535" i="1"/>
  <c r="I540" i="1"/>
  <c r="I551" i="1"/>
  <c r="I556" i="1"/>
  <c r="I567" i="1"/>
  <c r="I572" i="1"/>
  <c r="I583" i="1"/>
  <c r="I588" i="1"/>
  <c r="I599" i="1"/>
  <c r="I604" i="1"/>
  <c r="I615" i="1"/>
  <c r="I620" i="1"/>
  <c r="I631" i="1"/>
  <c r="I636" i="1"/>
  <c r="I647" i="1"/>
  <c r="I652" i="1"/>
  <c r="I663" i="1"/>
  <c r="I668" i="1"/>
  <c r="I679" i="1"/>
  <c r="I684" i="1"/>
  <c r="I695" i="1"/>
  <c r="I700" i="1"/>
  <c r="I711" i="1"/>
  <c r="I716" i="1"/>
  <c r="I727" i="1"/>
  <c r="I732" i="1"/>
  <c r="I743" i="1"/>
  <c r="I748" i="1"/>
  <c r="I759" i="1"/>
  <c r="I764" i="1"/>
  <c r="I775" i="1"/>
  <c r="I780" i="1"/>
  <c r="I791" i="1"/>
  <c r="I796" i="1"/>
  <c r="I807" i="1"/>
  <c r="I812" i="1"/>
  <c r="I823" i="1"/>
  <c r="I828" i="1"/>
  <c r="I839" i="1"/>
  <c r="I843" i="1"/>
  <c r="I844" i="1"/>
  <c r="I855" i="1"/>
  <c r="I859" i="1"/>
  <c r="I860" i="1"/>
  <c r="I871" i="1"/>
  <c r="I875" i="1"/>
  <c r="I876" i="1"/>
  <c r="I883" i="1"/>
  <c r="I887" i="1"/>
  <c r="I890" i="1"/>
  <c r="I891" i="1"/>
  <c r="I892" i="1"/>
  <c r="I899" i="1"/>
  <c r="I903" i="1"/>
  <c r="I906" i="1"/>
  <c r="I907" i="1"/>
  <c r="I908" i="1"/>
  <c r="I915" i="1"/>
  <c r="I919" i="1"/>
  <c r="I922" i="1"/>
  <c r="I923" i="1"/>
  <c r="I924" i="1"/>
  <c r="I931" i="1"/>
  <c r="I935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63" i="1"/>
  <c r="I967" i="1"/>
  <c r="I970" i="1"/>
  <c r="I971" i="1"/>
  <c r="I972" i="1"/>
  <c r="I979" i="1"/>
  <c r="I983" i="1"/>
  <c r="I986" i="1"/>
  <c r="I987" i="1"/>
  <c r="I988" i="1"/>
  <c r="I995" i="1"/>
  <c r="I996" i="1"/>
  <c r="I997" i="1"/>
  <c r="I999" i="1"/>
  <c r="I1002" i="1"/>
  <c r="I1003" i="1"/>
  <c r="I1004" i="1"/>
  <c r="I1011" i="1"/>
  <c r="I1012" i="1"/>
  <c r="I1013" i="1"/>
  <c r="I1015" i="1"/>
  <c r="I1018" i="1"/>
  <c r="I1019" i="1"/>
  <c r="I1020" i="1"/>
  <c r="I1027" i="1"/>
  <c r="I1028" i="1"/>
  <c r="I1029" i="1"/>
  <c r="I1030" i="1"/>
  <c r="I1031" i="1"/>
  <c r="I1032" i="1"/>
  <c r="I1033" i="1"/>
  <c r="I1035" i="1"/>
  <c r="I1036" i="1"/>
  <c r="I1037" i="1"/>
  <c r="I1038" i="1"/>
  <c r="I1039" i="1"/>
  <c r="I1040" i="1"/>
  <c r="I1041" i="1"/>
  <c r="F3" i="2"/>
  <c r="I84" i="1" s="1"/>
  <c r="F4" i="2"/>
  <c r="I85" i="1" s="1"/>
  <c r="F5" i="2"/>
  <c r="I86" i="1" s="1"/>
  <c r="F6" i="2"/>
  <c r="F7" i="2"/>
  <c r="I88" i="1" s="1"/>
  <c r="F8" i="2"/>
  <c r="I89" i="1" s="1"/>
  <c r="F9" i="2"/>
  <c r="I90" i="1" s="1"/>
  <c r="F10" i="2"/>
  <c r="I91" i="1" s="1"/>
  <c r="F11" i="2"/>
  <c r="F12" i="2"/>
  <c r="I93" i="1" s="1"/>
  <c r="F13" i="2"/>
  <c r="I94" i="1" s="1"/>
  <c r="F14" i="2"/>
  <c r="I95" i="1" s="1"/>
  <c r="F15" i="2"/>
  <c r="I96" i="1" s="1"/>
  <c r="F16" i="2"/>
  <c r="I97" i="1" s="1"/>
  <c r="F17" i="2"/>
  <c r="I98" i="1" s="1"/>
  <c r="F18" i="2"/>
  <c r="I99" i="1" s="1"/>
  <c r="F19" i="2"/>
  <c r="I100" i="1" s="1"/>
  <c r="F20" i="2"/>
  <c r="I101" i="1" s="1"/>
  <c r="F21" i="2"/>
  <c r="I102" i="1" s="1"/>
  <c r="F22" i="2"/>
  <c r="F23" i="2"/>
  <c r="I104" i="1" s="1"/>
  <c r="F24" i="2"/>
  <c r="I105" i="1" s="1"/>
  <c r="F25" i="2"/>
  <c r="I106" i="1" s="1"/>
  <c r="F26" i="2"/>
  <c r="I107" i="1" s="1"/>
  <c r="F27" i="2"/>
  <c r="F28" i="2"/>
  <c r="I109" i="1" s="1"/>
  <c r="F29" i="2"/>
  <c r="I110" i="1" s="1"/>
  <c r="F30" i="2"/>
  <c r="I111" i="1" s="1"/>
  <c r="F31" i="2"/>
  <c r="I112" i="1" s="1"/>
  <c r="F32" i="2"/>
  <c r="I113" i="1" s="1"/>
  <c r="F33" i="2"/>
  <c r="I114" i="1" s="1"/>
  <c r="F34" i="2"/>
  <c r="I115" i="1" s="1"/>
  <c r="F35" i="2"/>
  <c r="I116" i="1" s="1"/>
  <c r="F36" i="2"/>
  <c r="I117" i="1" s="1"/>
  <c r="F37" i="2"/>
  <c r="I118" i="1" s="1"/>
  <c r="F38" i="2"/>
  <c r="F39" i="2"/>
  <c r="I120" i="1" s="1"/>
  <c r="F40" i="2"/>
  <c r="I121" i="1" s="1"/>
  <c r="F41" i="2"/>
  <c r="I122" i="1" s="1"/>
  <c r="F42" i="2"/>
  <c r="I123" i="1" s="1"/>
  <c r="F43" i="2"/>
  <c r="F44" i="2"/>
  <c r="I125" i="1" s="1"/>
  <c r="F45" i="2"/>
  <c r="I126" i="1" s="1"/>
  <c r="F46" i="2"/>
  <c r="I127" i="1" s="1"/>
  <c r="F47" i="2"/>
  <c r="I128" i="1" s="1"/>
  <c r="F48" i="2"/>
  <c r="I129" i="1" s="1"/>
  <c r="F49" i="2"/>
  <c r="I130" i="1" s="1"/>
  <c r="F50" i="2"/>
  <c r="I131" i="1" s="1"/>
  <c r="F51" i="2"/>
  <c r="I132" i="1" s="1"/>
  <c r="F52" i="2"/>
  <c r="I133" i="1" s="1"/>
  <c r="F53" i="2"/>
  <c r="I134" i="1" s="1"/>
  <c r="F54" i="2"/>
  <c r="F55" i="2"/>
  <c r="I136" i="1" s="1"/>
  <c r="F56" i="2"/>
  <c r="I137" i="1" s="1"/>
  <c r="F57" i="2"/>
  <c r="I138" i="1" s="1"/>
  <c r="F58" i="2"/>
  <c r="I139" i="1" s="1"/>
  <c r="F59" i="2"/>
  <c r="F60" i="2"/>
  <c r="I141" i="1" s="1"/>
  <c r="F61" i="2"/>
  <c r="I142" i="1" s="1"/>
  <c r="F62" i="2"/>
  <c r="I143" i="1" s="1"/>
  <c r="F63" i="2"/>
  <c r="I144" i="1" s="1"/>
  <c r="F64" i="2"/>
  <c r="I145" i="1" s="1"/>
  <c r="F65" i="2"/>
  <c r="I146" i="1" s="1"/>
  <c r="F66" i="2"/>
  <c r="I147" i="1" s="1"/>
  <c r="F67" i="2"/>
  <c r="I148" i="1" s="1"/>
  <c r="F68" i="2"/>
  <c r="I149" i="1" s="1"/>
  <c r="F69" i="2"/>
  <c r="I150" i="1" s="1"/>
  <c r="F70" i="2"/>
  <c r="F71" i="2"/>
  <c r="I152" i="1" s="1"/>
  <c r="F72" i="2"/>
  <c r="I153" i="1" s="1"/>
  <c r="F73" i="2"/>
  <c r="I154" i="1" s="1"/>
  <c r="F74" i="2"/>
  <c r="I155" i="1" s="1"/>
  <c r="F75" i="2"/>
  <c r="F76" i="2"/>
  <c r="I157" i="1" s="1"/>
  <c r="F77" i="2"/>
  <c r="I158" i="1" s="1"/>
  <c r="F78" i="2"/>
  <c r="I159" i="1" s="1"/>
  <c r="F79" i="2"/>
  <c r="I160" i="1" s="1"/>
  <c r="F80" i="2"/>
  <c r="I161" i="1" s="1"/>
  <c r="F81" i="2"/>
  <c r="I162" i="1" s="1"/>
  <c r="F82" i="2"/>
  <c r="I163" i="1" s="1"/>
  <c r="F83" i="2"/>
  <c r="I164" i="1" s="1"/>
  <c r="F84" i="2"/>
  <c r="I165" i="1" s="1"/>
  <c r="F85" i="2"/>
  <c r="I166" i="1" s="1"/>
  <c r="F86" i="2"/>
  <c r="F87" i="2"/>
  <c r="I168" i="1" s="1"/>
  <c r="F88" i="2"/>
  <c r="I169" i="1" s="1"/>
  <c r="F89" i="2"/>
  <c r="I170" i="1" s="1"/>
  <c r="F90" i="2"/>
  <c r="I171" i="1" s="1"/>
  <c r="F91" i="2"/>
  <c r="F92" i="2"/>
  <c r="I173" i="1" s="1"/>
  <c r="F93" i="2"/>
  <c r="I174" i="1" s="1"/>
  <c r="F94" i="2"/>
  <c r="I175" i="1" s="1"/>
  <c r="F95" i="2"/>
  <c r="I176" i="1" s="1"/>
  <c r="F96" i="2"/>
  <c r="I177" i="1" s="1"/>
  <c r="F97" i="2"/>
  <c r="I178" i="1" s="1"/>
  <c r="F98" i="2"/>
  <c r="I179" i="1" s="1"/>
  <c r="F99" i="2"/>
  <c r="I180" i="1" s="1"/>
  <c r="F100" i="2"/>
  <c r="I181" i="1" s="1"/>
  <c r="F101" i="2"/>
  <c r="I182" i="1" s="1"/>
  <c r="F102" i="2"/>
  <c r="F103" i="2"/>
  <c r="I184" i="1" s="1"/>
  <c r="F104" i="2"/>
  <c r="I185" i="1" s="1"/>
  <c r="F105" i="2"/>
  <c r="I186" i="1" s="1"/>
  <c r="F106" i="2"/>
  <c r="I187" i="1" s="1"/>
  <c r="F107" i="2"/>
  <c r="F108" i="2"/>
  <c r="I189" i="1" s="1"/>
  <c r="F109" i="2"/>
  <c r="I190" i="1" s="1"/>
  <c r="F110" i="2"/>
  <c r="I191" i="1" s="1"/>
  <c r="F111" i="2"/>
  <c r="I192" i="1" s="1"/>
  <c r="F112" i="2"/>
  <c r="I193" i="1" s="1"/>
  <c r="F113" i="2"/>
  <c r="I194" i="1" s="1"/>
  <c r="F114" i="2"/>
  <c r="I195" i="1" s="1"/>
  <c r="F115" i="2"/>
  <c r="I196" i="1" s="1"/>
  <c r="F116" i="2"/>
  <c r="I197" i="1" s="1"/>
  <c r="F117" i="2"/>
  <c r="I198" i="1" s="1"/>
  <c r="F118" i="2"/>
  <c r="F119" i="2"/>
  <c r="I200" i="1" s="1"/>
  <c r="F120" i="2"/>
  <c r="I201" i="1" s="1"/>
  <c r="F121" i="2"/>
  <c r="I202" i="1" s="1"/>
  <c r="F122" i="2"/>
  <c r="I203" i="1" s="1"/>
  <c r="F123" i="2"/>
  <c r="F124" i="2"/>
  <c r="I205" i="1" s="1"/>
  <c r="F125" i="2"/>
  <c r="I206" i="1" s="1"/>
  <c r="F126" i="2"/>
  <c r="I207" i="1" s="1"/>
  <c r="F127" i="2"/>
  <c r="I208" i="1" s="1"/>
  <c r="F128" i="2"/>
  <c r="I209" i="1" s="1"/>
  <c r="F129" i="2"/>
  <c r="I210" i="1" s="1"/>
  <c r="F130" i="2"/>
  <c r="I211" i="1" s="1"/>
  <c r="F131" i="2"/>
  <c r="I212" i="1" s="1"/>
  <c r="F132" i="2"/>
  <c r="I213" i="1" s="1"/>
  <c r="F133" i="2"/>
  <c r="I214" i="1" s="1"/>
  <c r="F134" i="2"/>
  <c r="F135" i="2"/>
  <c r="I216" i="1" s="1"/>
  <c r="F136" i="2"/>
  <c r="I217" i="1" s="1"/>
  <c r="F137" i="2"/>
  <c r="I218" i="1" s="1"/>
  <c r="F138" i="2"/>
  <c r="I219" i="1" s="1"/>
  <c r="F139" i="2"/>
  <c r="F140" i="2"/>
  <c r="I221" i="1" s="1"/>
  <c r="F141" i="2"/>
  <c r="I222" i="1" s="1"/>
  <c r="F142" i="2"/>
  <c r="I223" i="1" s="1"/>
  <c r="F143" i="2"/>
  <c r="I224" i="1" s="1"/>
  <c r="F144" i="2"/>
  <c r="I225" i="1" s="1"/>
  <c r="F145" i="2"/>
  <c r="I226" i="1" s="1"/>
  <c r="F146" i="2"/>
  <c r="I227" i="1" s="1"/>
  <c r="F147" i="2"/>
  <c r="I228" i="1" s="1"/>
  <c r="F148" i="2"/>
  <c r="I229" i="1" s="1"/>
  <c r="F149" i="2"/>
  <c r="I230" i="1" s="1"/>
  <c r="F150" i="2"/>
  <c r="F151" i="2"/>
  <c r="I232" i="1" s="1"/>
  <c r="F152" i="2"/>
  <c r="I233" i="1" s="1"/>
  <c r="F153" i="2"/>
  <c r="I234" i="1" s="1"/>
  <c r="F154" i="2"/>
  <c r="I235" i="1" s="1"/>
  <c r="F155" i="2"/>
  <c r="F156" i="2"/>
  <c r="I237" i="1" s="1"/>
  <c r="F157" i="2"/>
  <c r="I238" i="1" s="1"/>
  <c r="F158" i="2"/>
  <c r="I239" i="1" s="1"/>
  <c r="F159" i="2"/>
  <c r="I240" i="1" s="1"/>
  <c r="F160" i="2"/>
  <c r="I241" i="1" s="1"/>
  <c r="F161" i="2"/>
  <c r="I242" i="1" s="1"/>
  <c r="F162" i="2"/>
  <c r="I243" i="1" s="1"/>
  <c r="F163" i="2"/>
  <c r="I244" i="1" s="1"/>
  <c r="F164" i="2"/>
  <c r="I245" i="1" s="1"/>
  <c r="F165" i="2"/>
  <c r="I246" i="1" s="1"/>
  <c r="F166" i="2"/>
  <c r="F167" i="2"/>
  <c r="I248" i="1" s="1"/>
  <c r="F168" i="2"/>
  <c r="I249" i="1" s="1"/>
  <c r="F169" i="2"/>
  <c r="I250" i="1" s="1"/>
  <c r="F170" i="2"/>
  <c r="I251" i="1" s="1"/>
  <c r="F171" i="2"/>
  <c r="F172" i="2"/>
  <c r="I253" i="1" s="1"/>
  <c r="F173" i="2"/>
  <c r="I254" i="1" s="1"/>
  <c r="F174" i="2"/>
  <c r="I255" i="1" s="1"/>
  <c r="F175" i="2"/>
  <c r="I256" i="1" s="1"/>
  <c r="F176" i="2"/>
  <c r="I257" i="1" s="1"/>
  <c r="F177" i="2"/>
  <c r="I258" i="1" s="1"/>
  <c r="F178" i="2"/>
  <c r="I259" i="1" s="1"/>
  <c r="F179" i="2"/>
  <c r="I260" i="1" s="1"/>
  <c r="F180" i="2"/>
  <c r="I261" i="1" s="1"/>
  <c r="F181" i="2"/>
  <c r="I262" i="1" s="1"/>
  <c r="F182" i="2"/>
  <c r="F183" i="2"/>
  <c r="I264" i="1" s="1"/>
  <c r="F184" i="2"/>
  <c r="I265" i="1" s="1"/>
  <c r="F185" i="2"/>
  <c r="I266" i="1" s="1"/>
  <c r="F186" i="2"/>
  <c r="I267" i="1" s="1"/>
  <c r="F187" i="2"/>
  <c r="F188" i="2"/>
  <c r="I269" i="1" s="1"/>
  <c r="F189" i="2"/>
  <c r="I270" i="1" s="1"/>
  <c r="F190" i="2"/>
  <c r="I271" i="1" s="1"/>
  <c r="F191" i="2"/>
  <c r="I272" i="1" s="1"/>
  <c r="F192" i="2"/>
  <c r="I273" i="1" s="1"/>
  <c r="F193" i="2"/>
  <c r="I274" i="1" s="1"/>
  <c r="F194" i="2"/>
  <c r="I275" i="1" s="1"/>
  <c r="F195" i="2"/>
  <c r="I276" i="1" s="1"/>
  <c r="F196" i="2"/>
  <c r="I277" i="1" s="1"/>
  <c r="F197" i="2"/>
  <c r="I278" i="1" s="1"/>
  <c r="F198" i="2"/>
  <c r="F199" i="2"/>
  <c r="I280" i="1" s="1"/>
  <c r="F200" i="2"/>
  <c r="I281" i="1" s="1"/>
  <c r="F201" i="2"/>
  <c r="I282" i="1" s="1"/>
  <c r="F202" i="2"/>
  <c r="I283" i="1" s="1"/>
  <c r="F203" i="2"/>
  <c r="F204" i="2"/>
  <c r="I285" i="1" s="1"/>
  <c r="F205" i="2"/>
  <c r="I286" i="1" s="1"/>
  <c r="F206" i="2"/>
  <c r="I287" i="1" s="1"/>
  <c r="F207" i="2"/>
  <c r="I288" i="1" s="1"/>
  <c r="F208" i="2"/>
  <c r="I289" i="1" s="1"/>
  <c r="F209" i="2"/>
  <c r="I290" i="1" s="1"/>
  <c r="F210" i="2"/>
  <c r="I291" i="1" s="1"/>
  <c r="F211" i="2"/>
  <c r="I292" i="1" s="1"/>
  <c r="F212" i="2"/>
  <c r="I293" i="1" s="1"/>
  <c r="F213" i="2"/>
  <c r="I294" i="1" s="1"/>
  <c r="F214" i="2"/>
  <c r="F215" i="2"/>
  <c r="I296" i="1" s="1"/>
  <c r="F216" i="2"/>
  <c r="I297" i="1" s="1"/>
  <c r="F217" i="2"/>
  <c r="I298" i="1" s="1"/>
  <c r="F218" i="2"/>
  <c r="I299" i="1" s="1"/>
  <c r="F219" i="2"/>
  <c r="F220" i="2"/>
  <c r="I301" i="1" s="1"/>
  <c r="F221" i="2"/>
  <c r="I302" i="1" s="1"/>
  <c r="F222" i="2"/>
  <c r="I303" i="1" s="1"/>
  <c r="F223" i="2"/>
  <c r="I304" i="1" s="1"/>
  <c r="F224" i="2"/>
  <c r="I305" i="1" s="1"/>
  <c r="F225" i="2"/>
  <c r="I306" i="1" s="1"/>
  <c r="F226" i="2"/>
  <c r="I307" i="1" s="1"/>
  <c r="F227" i="2"/>
  <c r="I308" i="1" s="1"/>
  <c r="F228" i="2"/>
  <c r="I309" i="1" s="1"/>
  <c r="F229" i="2"/>
  <c r="I310" i="1" s="1"/>
  <c r="F230" i="2"/>
  <c r="F231" i="2"/>
  <c r="I312" i="1" s="1"/>
  <c r="F232" i="2"/>
  <c r="I313" i="1" s="1"/>
  <c r="F233" i="2"/>
  <c r="I314" i="1" s="1"/>
  <c r="F234" i="2"/>
  <c r="I315" i="1" s="1"/>
  <c r="F235" i="2"/>
  <c r="F236" i="2"/>
  <c r="I317" i="1" s="1"/>
  <c r="F237" i="2"/>
  <c r="I318" i="1" s="1"/>
  <c r="F238" i="2"/>
  <c r="I319" i="1" s="1"/>
  <c r="F239" i="2"/>
  <c r="I320" i="1" s="1"/>
  <c r="F240" i="2"/>
  <c r="I321" i="1" s="1"/>
  <c r="F241" i="2"/>
  <c r="I322" i="1" s="1"/>
  <c r="F242" i="2"/>
  <c r="I323" i="1" s="1"/>
  <c r="F243" i="2"/>
  <c r="I324" i="1" s="1"/>
  <c r="F244" i="2"/>
  <c r="I325" i="1" s="1"/>
  <c r="F245" i="2"/>
  <c r="I326" i="1" s="1"/>
  <c r="F246" i="2"/>
  <c r="F247" i="2"/>
  <c r="I328" i="1" s="1"/>
  <c r="F248" i="2"/>
  <c r="I329" i="1" s="1"/>
  <c r="F249" i="2"/>
  <c r="I330" i="1" s="1"/>
  <c r="F250" i="2"/>
  <c r="I331" i="1" s="1"/>
  <c r="F251" i="2"/>
  <c r="F252" i="2"/>
  <c r="I333" i="1" s="1"/>
  <c r="F253" i="2"/>
  <c r="I334" i="1" s="1"/>
  <c r="F254" i="2"/>
  <c r="I335" i="1" s="1"/>
  <c r="F255" i="2"/>
  <c r="I336" i="1" s="1"/>
  <c r="F256" i="2"/>
  <c r="I337" i="1" s="1"/>
  <c r="F257" i="2"/>
  <c r="I338" i="1" s="1"/>
  <c r="F258" i="2"/>
  <c r="I339" i="1" s="1"/>
  <c r="F259" i="2"/>
  <c r="I340" i="1" s="1"/>
  <c r="F260" i="2"/>
  <c r="I341" i="1" s="1"/>
  <c r="F261" i="2"/>
  <c r="I342" i="1" s="1"/>
  <c r="F262" i="2"/>
  <c r="F263" i="2"/>
  <c r="I344" i="1" s="1"/>
  <c r="F264" i="2"/>
  <c r="I345" i="1" s="1"/>
  <c r="F265" i="2"/>
  <c r="I346" i="1" s="1"/>
  <c r="F266" i="2"/>
  <c r="I347" i="1" s="1"/>
  <c r="F267" i="2"/>
  <c r="F268" i="2"/>
  <c r="I349" i="1" s="1"/>
  <c r="F269" i="2"/>
  <c r="I350" i="1" s="1"/>
  <c r="F270" i="2"/>
  <c r="I351" i="1" s="1"/>
  <c r="F271" i="2"/>
  <c r="I352" i="1" s="1"/>
  <c r="F272" i="2"/>
  <c r="I353" i="1" s="1"/>
  <c r="F273" i="2"/>
  <c r="I354" i="1" s="1"/>
  <c r="F274" i="2"/>
  <c r="I355" i="1" s="1"/>
  <c r="F275" i="2"/>
  <c r="I356" i="1" s="1"/>
  <c r="F276" i="2"/>
  <c r="I357" i="1" s="1"/>
  <c r="F277" i="2"/>
  <c r="I358" i="1" s="1"/>
  <c r="F278" i="2"/>
  <c r="F279" i="2"/>
  <c r="I360" i="1" s="1"/>
  <c r="F280" i="2"/>
  <c r="I361" i="1" s="1"/>
  <c r="F281" i="2"/>
  <c r="I362" i="1" s="1"/>
  <c r="F282" i="2"/>
  <c r="I363" i="1" s="1"/>
  <c r="F283" i="2"/>
  <c r="F284" i="2"/>
  <c r="I365" i="1" s="1"/>
  <c r="F285" i="2"/>
  <c r="I366" i="1" s="1"/>
  <c r="F286" i="2"/>
  <c r="I367" i="1" s="1"/>
  <c r="F287" i="2"/>
  <c r="I368" i="1" s="1"/>
  <c r="F288" i="2"/>
  <c r="I369" i="1" s="1"/>
  <c r="F289" i="2"/>
  <c r="I370" i="1" s="1"/>
  <c r="F290" i="2"/>
  <c r="I371" i="1" s="1"/>
  <c r="F291" i="2"/>
  <c r="I372" i="1" s="1"/>
  <c r="F292" i="2"/>
  <c r="I373" i="1" s="1"/>
  <c r="F293" i="2"/>
  <c r="I374" i="1" s="1"/>
  <c r="F294" i="2"/>
  <c r="F295" i="2"/>
  <c r="I376" i="1" s="1"/>
  <c r="F296" i="2"/>
  <c r="I377" i="1" s="1"/>
  <c r="F297" i="2"/>
  <c r="I378" i="1" s="1"/>
  <c r="F298" i="2"/>
  <c r="I379" i="1" s="1"/>
  <c r="F299" i="2"/>
  <c r="F300" i="2"/>
  <c r="I381" i="1" s="1"/>
  <c r="F301" i="2"/>
  <c r="I382" i="1" s="1"/>
  <c r="F302" i="2"/>
  <c r="I383" i="1" s="1"/>
  <c r="F303" i="2"/>
  <c r="I384" i="1" s="1"/>
  <c r="F304" i="2"/>
  <c r="I385" i="1" s="1"/>
  <c r="F305" i="2"/>
  <c r="I386" i="1" s="1"/>
  <c r="F306" i="2"/>
  <c r="I387" i="1" s="1"/>
  <c r="F307" i="2"/>
  <c r="I388" i="1" s="1"/>
  <c r="F308" i="2"/>
  <c r="I389" i="1" s="1"/>
  <c r="F309" i="2"/>
  <c r="I390" i="1" s="1"/>
  <c r="F310" i="2"/>
  <c r="F311" i="2"/>
  <c r="I392" i="1" s="1"/>
  <c r="F312" i="2"/>
  <c r="I393" i="1" s="1"/>
  <c r="F313" i="2"/>
  <c r="I394" i="1" s="1"/>
  <c r="F314" i="2"/>
  <c r="I395" i="1" s="1"/>
  <c r="F315" i="2"/>
  <c r="F316" i="2"/>
  <c r="I397" i="1" s="1"/>
  <c r="F317" i="2"/>
  <c r="I398" i="1" s="1"/>
  <c r="F318" i="2"/>
  <c r="I399" i="1" s="1"/>
  <c r="F319" i="2"/>
  <c r="I400" i="1" s="1"/>
  <c r="F320" i="2"/>
  <c r="I401" i="1" s="1"/>
  <c r="F321" i="2"/>
  <c r="I402" i="1" s="1"/>
  <c r="F322" i="2"/>
  <c r="I403" i="1" s="1"/>
  <c r="F323" i="2"/>
  <c r="I404" i="1" s="1"/>
  <c r="F324" i="2"/>
  <c r="I405" i="1" s="1"/>
  <c r="F325" i="2"/>
  <c r="I406" i="1" s="1"/>
  <c r="F326" i="2"/>
  <c r="F327" i="2"/>
  <c r="I408" i="1" s="1"/>
  <c r="F328" i="2"/>
  <c r="I409" i="1" s="1"/>
  <c r="F329" i="2"/>
  <c r="I410" i="1" s="1"/>
  <c r="F330" i="2"/>
  <c r="I411" i="1" s="1"/>
  <c r="F331" i="2"/>
  <c r="F332" i="2"/>
  <c r="I413" i="1" s="1"/>
  <c r="F333" i="2"/>
  <c r="I414" i="1" s="1"/>
  <c r="F334" i="2"/>
  <c r="I415" i="1" s="1"/>
  <c r="F335" i="2"/>
  <c r="I416" i="1" s="1"/>
  <c r="F336" i="2"/>
  <c r="I417" i="1" s="1"/>
  <c r="F337" i="2"/>
  <c r="I418" i="1" s="1"/>
  <c r="F338" i="2"/>
  <c r="I419" i="1" s="1"/>
  <c r="F339" i="2"/>
  <c r="I420" i="1" s="1"/>
  <c r="F340" i="2"/>
  <c r="I421" i="1" s="1"/>
  <c r="F341" i="2"/>
  <c r="I422" i="1" s="1"/>
  <c r="F342" i="2"/>
  <c r="F343" i="2"/>
  <c r="I424" i="1" s="1"/>
  <c r="F344" i="2"/>
  <c r="I425" i="1" s="1"/>
  <c r="F345" i="2"/>
  <c r="I426" i="1" s="1"/>
  <c r="F346" i="2"/>
  <c r="I427" i="1" s="1"/>
  <c r="F347" i="2"/>
  <c r="F348" i="2"/>
  <c r="I429" i="1" s="1"/>
  <c r="F349" i="2"/>
  <c r="I430" i="1" s="1"/>
  <c r="F350" i="2"/>
  <c r="I431" i="1" s="1"/>
  <c r="F351" i="2"/>
  <c r="I432" i="1" s="1"/>
  <c r="F352" i="2"/>
  <c r="I433" i="1" s="1"/>
  <c r="F353" i="2"/>
  <c r="I434" i="1" s="1"/>
  <c r="F354" i="2"/>
  <c r="I435" i="1" s="1"/>
  <c r="F355" i="2"/>
  <c r="I436" i="1" s="1"/>
  <c r="F356" i="2"/>
  <c r="I437" i="1" s="1"/>
  <c r="F357" i="2"/>
  <c r="I438" i="1" s="1"/>
  <c r="F358" i="2"/>
  <c r="F359" i="2"/>
  <c r="I440" i="1" s="1"/>
  <c r="F360" i="2"/>
  <c r="I441" i="1" s="1"/>
  <c r="F361" i="2"/>
  <c r="I442" i="1" s="1"/>
  <c r="F362" i="2"/>
  <c r="I443" i="1" s="1"/>
  <c r="F363" i="2"/>
  <c r="F364" i="2"/>
  <c r="I445" i="1" s="1"/>
  <c r="F365" i="2"/>
  <c r="I446" i="1" s="1"/>
  <c r="F366" i="2"/>
  <c r="I447" i="1" s="1"/>
  <c r="F367" i="2"/>
  <c r="I448" i="1" s="1"/>
  <c r="F368" i="2"/>
  <c r="I449" i="1" s="1"/>
  <c r="F369" i="2"/>
  <c r="I450" i="1" s="1"/>
  <c r="F370" i="2"/>
  <c r="I451" i="1" s="1"/>
  <c r="F371" i="2"/>
  <c r="I452" i="1" s="1"/>
  <c r="F372" i="2"/>
  <c r="I453" i="1" s="1"/>
  <c r="F373" i="2"/>
  <c r="I454" i="1" s="1"/>
  <c r="F374" i="2"/>
  <c r="F375" i="2"/>
  <c r="I456" i="1" s="1"/>
  <c r="F376" i="2"/>
  <c r="I457" i="1" s="1"/>
  <c r="F377" i="2"/>
  <c r="I458" i="1" s="1"/>
  <c r="F378" i="2"/>
  <c r="I459" i="1" s="1"/>
  <c r="F379" i="2"/>
  <c r="F380" i="2"/>
  <c r="I461" i="1" s="1"/>
  <c r="F381" i="2"/>
  <c r="I462" i="1" s="1"/>
  <c r="F382" i="2"/>
  <c r="I463" i="1" s="1"/>
  <c r="F383" i="2"/>
  <c r="I464" i="1" s="1"/>
  <c r="F384" i="2"/>
  <c r="I465" i="1" s="1"/>
  <c r="F385" i="2"/>
  <c r="I466" i="1" s="1"/>
  <c r="F386" i="2"/>
  <c r="I467" i="1" s="1"/>
  <c r="F387" i="2"/>
  <c r="I468" i="1" s="1"/>
  <c r="F388" i="2"/>
  <c r="I469" i="1" s="1"/>
  <c r="F389" i="2"/>
  <c r="I470" i="1" s="1"/>
  <c r="F390" i="2"/>
  <c r="F391" i="2"/>
  <c r="I472" i="1" s="1"/>
  <c r="F392" i="2"/>
  <c r="I473" i="1" s="1"/>
  <c r="F393" i="2"/>
  <c r="I474" i="1" s="1"/>
  <c r="F394" i="2"/>
  <c r="I475" i="1" s="1"/>
  <c r="F395" i="2"/>
  <c r="F396" i="2"/>
  <c r="I477" i="1" s="1"/>
  <c r="F397" i="2"/>
  <c r="I478" i="1" s="1"/>
  <c r="F398" i="2"/>
  <c r="I479" i="1" s="1"/>
  <c r="F399" i="2"/>
  <c r="I480" i="1" s="1"/>
  <c r="F400" i="2"/>
  <c r="I481" i="1" s="1"/>
  <c r="F401" i="2"/>
  <c r="I482" i="1" s="1"/>
  <c r="F402" i="2"/>
  <c r="I483" i="1" s="1"/>
  <c r="F403" i="2"/>
  <c r="I484" i="1" s="1"/>
  <c r="F404" i="2"/>
  <c r="I485" i="1" s="1"/>
  <c r="F405" i="2"/>
  <c r="I486" i="1" s="1"/>
  <c r="F406" i="2"/>
  <c r="F407" i="2"/>
  <c r="I488" i="1" s="1"/>
  <c r="F408" i="2"/>
  <c r="I489" i="1" s="1"/>
  <c r="F409" i="2"/>
  <c r="I490" i="1" s="1"/>
  <c r="F410" i="2"/>
  <c r="I491" i="1" s="1"/>
  <c r="F411" i="2"/>
  <c r="F412" i="2"/>
  <c r="I493" i="1" s="1"/>
  <c r="F413" i="2"/>
  <c r="I494" i="1" s="1"/>
  <c r="F414" i="2"/>
  <c r="I495" i="1" s="1"/>
  <c r="F415" i="2"/>
  <c r="I496" i="1" s="1"/>
  <c r="F416" i="2"/>
  <c r="I497" i="1" s="1"/>
  <c r="F417" i="2"/>
  <c r="I498" i="1" s="1"/>
  <c r="F418" i="2"/>
  <c r="I499" i="1" s="1"/>
  <c r="F419" i="2"/>
  <c r="I500" i="1" s="1"/>
  <c r="F420" i="2"/>
  <c r="I501" i="1" s="1"/>
  <c r="F421" i="2"/>
  <c r="I502" i="1" s="1"/>
  <c r="F422" i="2"/>
  <c r="F423" i="2"/>
  <c r="I504" i="1" s="1"/>
  <c r="F424" i="2"/>
  <c r="I505" i="1" s="1"/>
  <c r="F425" i="2"/>
  <c r="I506" i="1" s="1"/>
  <c r="F426" i="2"/>
  <c r="I507" i="1" s="1"/>
  <c r="F427" i="2"/>
  <c r="F428" i="2"/>
  <c r="I509" i="1" s="1"/>
  <c r="F429" i="2"/>
  <c r="I510" i="1" s="1"/>
  <c r="F430" i="2"/>
  <c r="I511" i="1" s="1"/>
  <c r="F431" i="2"/>
  <c r="I512" i="1" s="1"/>
  <c r="F432" i="2"/>
  <c r="I513" i="1" s="1"/>
  <c r="F433" i="2"/>
  <c r="I514" i="1" s="1"/>
  <c r="F434" i="2"/>
  <c r="I515" i="1" s="1"/>
  <c r="F435" i="2"/>
  <c r="I516" i="1" s="1"/>
  <c r="F436" i="2"/>
  <c r="I517" i="1" s="1"/>
  <c r="F437" i="2"/>
  <c r="I518" i="1" s="1"/>
  <c r="F438" i="2"/>
  <c r="F439" i="2"/>
  <c r="I520" i="1" s="1"/>
  <c r="F440" i="2"/>
  <c r="I521" i="1" s="1"/>
  <c r="F441" i="2"/>
  <c r="I522" i="1" s="1"/>
  <c r="F442" i="2"/>
  <c r="I523" i="1" s="1"/>
  <c r="F443" i="2"/>
  <c r="F444" i="2"/>
  <c r="I525" i="1" s="1"/>
  <c r="F445" i="2"/>
  <c r="I526" i="1" s="1"/>
  <c r="F446" i="2"/>
  <c r="I527" i="1" s="1"/>
  <c r="F447" i="2"/>
  <c r="I528" i="1" s="1"/>
  <c r="F448" i="2"/>
  <c r="I529" i="1" s="1"/>
  <c r="F449" i="2"/>
  <c r="I530" i="1" s="1"/>
  <c r="F450" i="2"/>
  <c r="I531" i="1" s="1"/>
  <c r="F451" i="2"/>
  <c r="I532" i="1" s="1"/>
  <c r="F452" i="2"/>
  <c r="I533" i="1" s="1"/>
  <c r="F453" i="2"/>
  <c r="I534" i="1" s="1"/>
  <c r="F454" i="2"/>
  <c r="F455" i="2"/>
  <c r="I536" i="1" s="1"/>
  <c r="F456" i="2"/>
  <c r="I537" i="1" s="1"/>
  <c r="F457" i="2"/>
  <c r="I538" i="1" s="1"/>
  <c r="F458" i="2"/>
  <c r="I539" i="1" s="1"/>
  <c r="F459" i="2"/>
  <c r="F460" i="2"/>
  <c r="I541" i="1" s="1"/>
  <c r="F461" i="2"/>
  <c r="I542" i="1" s="1"/>
  <c r="F462" i="2"/>
  <c r="I543" i="1" s="1"/>
  <c r="F463" i="2"/>
  <c r="I544" i="1" s="1"/>
  <c r="F464" i="2"/>
  <c r="I545" i="1" s="1"/>
  <c r="F465" i="2"/>
  <c r="I546" i="1" s="1"/>
  <c r="F466" i="2"/>
  <c r="I547" i="1" s="1"/>
  <c r="F467" i="2"/>
  <c r="I548" i="1" s="1"/>
  <c r="F468" i="2"/>
  <c r="I549" i="1" s="1"/>
  <c r="F469" i="2"/>
  <c r="I550" i="1" s="1"/>
  <c r="F470" i="2"/>
  <c r="F471" i="2"/>
  <c r="I552" i="1" s="1"/>
  <c r="F472" i="2"/>
  <c r="I553" i="1" s="1"/>
  <c r="F473" i="2"/>
  <c r="I554" i="1" s="1"/>
  <c r="F474" i="2"/>
  <c r="I555" i="1" s="1"/>
  <c r="F475" i="2"/>
  <c r="F476" i="2"/>
  <c r="I557" i="1" s="1"/>
  <c r="F477" i="2"/>
  <c r="I558" i="1" s="1"/>
  <c r="F478" i="2"/>
  <c r="I559" i="1" s="1"/>
  <c r="F479" i="2"/>
  <c r="I560" i="1" s="1"/>
  <c r="F480" i="2"/>
  <c r="I561" i="1" s="1"/>
  <c r="F481" i="2"/>
  <c r="I562" i="1" s="1"/>
  <c r="F482" i="2"/>
  <c r="I563" i="1" s="1"/>
  <c r="F483" i="2"/>
  <c r="I564" i="1" s="1"/>
  <c r="F484" i="2"/>
  <c r="I565" i="1" s="1"/>
  <c r="F485" i="2"/>
  <c r="I566" i="1" s="1"/>
  <c r="F486" i="2"/>
  <c r="F487" i="2"/>
  <c r="I568" i="1" s="1"/>
  <c r="F488" i="2"/>
  <c r="I569" i="1" s="1"/>
  <c r="F489" i="2"/>
  <c r="I570" i="1" s="1"/>
  <c r="F490" i="2"/>
  <c r="I571" i="1" s="1"/>
  <c r="F491" i="2"/>
  <c r="F492" i="2"/>
  <c r="I573" i="1" s="1"/>
  <c r="F493" i="2"/>
  <c r="I574" i="1" s="1"/>
  <c r="F494" i="2"/>
  <c r="I575" i="1" s="1"/>
  <c r="F495" i="2"/>
  <c r="I576" i="1" s="1"/>
  <c r="F496" i="2"/>
  <c r="I577" i="1" s="1"/>
  <c r="F497" i="2"/>
  <c r="I578" i="1" s="1"/>
  <c r="F498" i="2"/>
  <c r="I579" i="1" s="1"/>
  <c r="F499" i="2"/>
  <c r="I580" i="1" s="1"/>
  <c r="F500" i="2"/>
  <c r="I581" i="1" s="1"/>
  <c r="F501" i="2"/>
  <c r="I582" i="1" s="1"/>
  <c r="F502" i="2"/>
  <c r="F503" i="2"/>
  <c r="I584" i="1" s="1"/>
  <c r="F504" i="2"/>
  <c r="I585" i="1" s="1"/>
  <c r="F505" i="2"/>
  <c r="I586" i="1" s="1"/>
  <c r="F506" i="2"/>
  <c r="I587" i="1" s="1"/>
  <c r="F507" i="2"/>
  <c r="F508" i="2"/>
  <c r="I589" i="1" s="1"/>
  <c r="F509" i="2"/>
  <c r="I590" i="1" s="1"/>
  <c r="F510" i="2"/>
  <c r="I591" i="1" s="1"/>
  <c r="F511" i="2"/>
  <c r="I592" i="1" s="1"/>
  <c r="F512" i="2"/>
  <c r="I593" i="1" s="1"/>
  <c r="F513" i="2"/>
  <c r="I594" i="1" s="1"/>
  <c r="F514" i="2"/>
  <c r="I595" i="1" s="1"/>
  <c r="F515" i="2"/>
  <c r="I596" i="1" s="1"/>
  <c r="F516" i="2"/>
  <c r="I597" i="1" s="1"/>
  <c r="F517" i="2"/>
  <c r="I598" i="1" s="1"/>
  <c r="F518" i="2"/>
  <c r="F519" i="2"/>
  <c r="I600" i="1" s="1"/>
  <c r="F520" i="2"/>
  <c r="I601" i="1" s="1"/>
  <c r="F521" i="2"/>
  <c r="I602" i="1" s="1"/>
  <c r="F522" i="2"/>
  <c r="I603" i="1" s="1"/>
  <c r="F523" i="2"/>
  <c r="F524" i="2"/>
  <c r="I605" i="1" s="1"/>
  <c r="F525" i="2"/>
  <c r="I606" i="1" s="1"/>
  <c r="F526" i="2"/>
  <c r="I607" i="1" s="1"/>
  <c r="F527" i="2"/>
  <c r="I608" i="1" s="1"/>
  <c r="F528" i="2"/>
  <c r="I609" i="1" s="1"/>
  <c r="F529" i="2"/>
  <c r="I610" i="1" s="1"/>
  <c r="F530" i="2"/>
  <c r="I611" i="1" s="1"/>
  <c r="F531" i="2"/>
  <c r="I612" i="1" s="1"/>
  <c r="F532" i="2"/>
  <c r="I613" i="1" s="1"/>
  <c r="F533" i="2"/>
  <c r="I614" i="1" s="1"/>
  <c r="F534" i="2"/>
  <c r="F535" i="2"/>
  <c r="I616" i="1" s="1"/>
  <c r="F536" i="2"/>
  <c r="I617" i="1" s="1"/>
  <c r="F537" i="2"/>
  <c r="I618" i="1" s="1"/>
  <c r="F538" i="2"/>
  <c r="I619" i="1" s="1"/>
  <c r="F539" i="2"/>
  <c r="F540" i="2"/>
  <c r="I621" i="1" s="1"/>
  <c r="F541" i="2"/>
  <c r="I622" i="1" s="1"/>
  <c r="F542" i="2"/>
  <c r="I623" i="1" s="1"/>
  <c r="F543" i="2"/>
  <c r="I624" i="1" s="1"/>
  <c r="F544" i="2"/>
  <c r="I625" i="1" s="1"/>
  <c r="F545" i="2"/>
  <c r="I626" i="1" s="1"/>
  <c r="F546" i="2"/>
  <c r="I627" i="1" s="1"/>
  <c r="F547" i="2"/>
  <c r="I628" i="1" s="1"/>
  <c r="F548" i="2"/>
  <c r="I629" i="1" s="1"/>
  <c r="F549" i="2"/>
  <c r="I630" i="1" s="1"/>
  <c r="F550" i="2"/>
  <c r="F551" i="2"/>
  <c r="I632" i="1" s="1"/>
  <c r="F552" i="2"/>
  <c r="I633" i="1" s="1"/>
  <c r="F553" i="2"/>
  <c r="I634" i="1" s="1"/>
  <c r="F554" i="2"/>
  <c r="I635" i="1" s="1"/>
  <c r="F555" i="2"/>
  <c r="F556" i="2"/>
  <c r="I637" i="1" s="1"/>
  <c r="F557" i="2"/>
  <c r="I638" i="1" s="1"/>
  <c r="F558" i="2"/>
  <c r="I639" i="1" s="1"/>
  <c r="F559" i="2"/>
  <c r="I640" i="1" s="1"/>
  <c r="F560" i="2"/>
  <c r="I641" i="1" s="1"/>
  <c r="F561" i="2"/>
  <c r="I642" i="1" s="1"/>
  <c r="F562" i="2"/>
  <c r="I643" i="1" s="1"/>
  <c r="F563" i="2"/>
  <c r="I644" i="1" s="1"/>
  <c r="F564" i="2"/>
  <c r="I645" i="1" s="1"/>
  <c r="F565" i="2"/>
  <c r="I646" i="1" s="1"/>
  <c r="F566" i="2"/>
  <c r="F567" i="2"/>
  <c r="I648" i="1" s="1"/>
  <c r="F568" i="2"/>
  <c r="I649" i="1" s="1"/>
  <c r="F569" i="2"/>
  <c r="I650" i="1" s="1"/>
  <c r="F570" i="2"/>
  <c r="I651" i="1" s="1"/>
  <c r="F571" i="2"/>
  <c r="F572" i="2"/>
  <c r="I653" i="1" s="1"/>
  <c r="F573" i="2"/>
  <c r="I654" i="1" s="1"/>
  <c r="F574" i="2"/>
  <c r="I655" i="1" s="1"/>
  <c r="F575" i="2"/>
  <c r="I656" i="1" s="1"/>
  <c r="F576" i="2"/>
  <c r="I657" i="1" s="1"/>
  <c r="F577" i="2"/>
  <c r="I658" i="1" s="1"/>
  <c r="F578" i="2"/>
  <c r="I659" i="1" s="1"/>
  <c r="F579" i="2"/>
  <c r="I660" i="1" s="1"/>
  <c r="F580" i="2"/>
  <c r="I661" i="1" s="1"/>
  <c r="F581" i="2"/>
  <c r="I662" i="1" s="1"/>
  <c r="F582" i="2"/>
  <c r="F583" i="2"/>
  <c r="I664" i="1" s="1"/>
  <c r="F584" i="2"/>
  <c r="I665" i="1" s="1"/>
  <c r="F585" i="2"/>
  <c r="I666" i="1" s="1"/>
  <c r="F586" i="2"/>
  <c r="I667" i="1" s="1"/>
  <c r="F587" i="2"/>
  <c r="F588" i="2"/>
  <c r="I669" i="1" s="1"/>
  <c r="F589" i="2"/>
  <c r="I670" i="1" s="1"/>
  <c r="F590" i="2"/>
  <c r="I671" i="1" s="1"/>
  <c r="F591" i="2"/>
  <c r="I672" i="1" s="1"/>
  <c r="F592" i="2"/>
  <c r="I673" i="1" s="1"/>
  <c r="F593" i="2"/>
  <c r="I674" i="1" s="1"/>
  <c r="F594" i="2"/>
  <c r="I675" i="1" s="1"/>
  <c r="F595" i="2"/>
  <c r="I676" i="1" s="1"/>
  <c r="F596" i="2"/>
  <c r="I677" i="1" s="1"/>
  <c r="F597" i="2"/>
  <c r="I678" i="1" s="1"/>
  <c r="F598" i="2"/>
  <c r="F599" i="2"/>
  <c r="I680" i="1" s="1"/>
  <c r="F600" i="2"/>
  <c r="I681" i="1" s="1"/>
  <c r="F601" i="2"/>
  <c r="I682" i="1" s="1"/>
  <c r="F602" i="2"/>
  <c r="I683" i="1" s="1"/>
  <c r="F603" i="2"/>
  <c r="F604" i="2"/>
  <c r="I685" i="1" s="1"/>
  <c r="F605" i="2"/>
  <c r="I686" i="1" s="1"/>
  <c r="F606" i="2"/>
  <c r="I687" i="1" s="1"/>
  <c r="F607" i="2"/>
  <c r="I688" i="1" s="1"/>
  <c r="F608" i="2"/>
  <c r="I689" i="1" s="1"/>
  <c r="F609" i="2"/>
  <c r="I690" i="1" s="1"/>
  <c r="F610" i="2"/>
  <c r="I691" i="1" s="1"/>
  <c r="F611" i="2"/>
  <c r="I692" i="1" s="1"/>
  <c r="F612" i="2"/>
  <c r="I693" i="1" s="1"/>
  <c r="F613" i="2"/>
  <c r="I694" i="1" s="1"/>
  <c r="F614" i="2"/>
  <c r="F615" i="2"/>
  <c r="I696" i="1" s="1"/>
  <c r="F616" i="2"/>
  <c r="I697" i="1" s="1"/>
  <c r="F617" i="2"/>
  <c r="I698" i="1" s="1"/>
  <c r="F618" i="2"/>
  <c r="I699" i="1" s="1"/>
  <c r="F619" i="2"/>
  <c r="F620" i="2"/>
  <c r="I701" i="1" s="1"/>
  <c r="F621" i="2"/>
  <c r="I702" i="1" s="1"/>
  <c r="F622" i="2"/>
  <c r="I703" i="1" s="1"/>
  <c r="F623" i="2"/>
  <c r="I704" i="1" s="1"/>
  <c r="F624" i="2"/>
  <c r="I705" i="1" s="1"/>
  <c r="F625" i="2"/>
  <c r="I706" i="1" s="1"/>
  <c r="F626" i="2"/>
  <c r="I707" i="1" s="1"/>
  <c r="F627" i="2"/>
  <c r="I708" i="1" s="1"/>
  <c r="F628" i="2"/>
  <c r="I709" i="1" s="1"/>
  <c r="F629" i="2"/>
  <c r="I710" i="1" s="1"/>
  <c r="F630" i="2"/>
  <c r="F631" i="2"/>
  <c r="I712" i="1" s="1"/>
  <c r="F632" i="2"/>
  <c r="I713" i="1" s="1"/>
  <c r="F633" i="2"/>
  <c r="I714" i="1" s="1"/>
  <c r="F634" i="2"/>
  <c r="I715" i="1" s="1"/>
  <c r="F635" i="2"/>
  <c r="F636" i="2"/>
  <c r="I717" i="1" s="1"/>
  <c r="F637" i="2"/>
  <c r="I718" i="1" s="1"/>
  <c r="F638" i="2"/>
  <c r="I719" i="1" s="1"/>
  <c r="F639" i="2"/>
  <c r="I720" i="1" s="1"/>
  <c r="F640" i="2"/>
  <c r="I721" i="1" s="1"/>
  <c r="F641" i="2"/>
  <c r="I722" i="1" s="1"/>
  <c r="F642" i="2"/>
  <c r="I723" i="1" s="1"/>
  <c r="F643" i="2"/>
  <c r="I724" i="1" s="1"/>
  <c r="F644" i="2"/>
  <c r="I725" i="1" s="1"/>
  <c r="F645" i="2"/>
  <c r="I726" i="1" s="1"/>
  <c r="F646" i="2"/>
  <c r="F647" i="2"/>
  <c r="I728" i="1" s="1"/>
  <c r="F648" i="2"/>
  <c r="I729" i="1" s="1"/>
  <c r="F649" i="2"/>
  <c r="I730" i="1" s="1"/>
  <c r="F650" i="2"/>
  <c r="I731" i="1" s="1"/>
  <c r="F651" i="2"/>
  <c r="F652" i="2"/>
  <c r="I733" i="1" s="1"/>
  <c r="F653" i="2"/>
  <c r="I734" i="1" s="1"/>
  <c r="F654" i="2"/>
  <c r="I735" i="1" s="1"/>
  <c r="F655" i="2"/>
  <c r="I736" i="1" s="1"/>
  <c r="F656" i="2"/>
  <c r="I737" i="1" s="1"/>
  <c r="F657" i="2"/>
  <c r="I738" i="1" s="1"/>
  <c r="F658" i="2"/>
  <c r="I739" i="1" s="1"/>
  <c r="F659" i="2"/>
  <c r="I740" i="1" s="1"/>
  <c r="F660" i="2"/>
  <c r="I741" i="1" s="1"/>
  <c r="F661" i="2"/>
  <c r="I742" i="1" s="1"/>
  <c r="F662" i="2"/>
  <c r="F663" i="2"/>
  <c r="I744" i="1" s="1"/>
  <c r="F664" i="2"/>
  <c r="I745" i="1" s="1"/>
  <c r="F665" i="2"/>
  <c r="I746" i="1" s="1"/>
  <c r="F666" i="2"/>
  <c r="I747" i="1" s="1"/>
  <c r="F667" i="2"/>
  <c r="F668" i="2"/>
  <c r="I749" i="1" s="1"/>
  <c r="F669" i="2"/>
  <c r="I750" i="1" s="1"/>
  <c r="F670" i="2"/>
  <c r="I751" i="1" s="1"/>
  <c r="F671" i="2"/>
  <c r="I752" i="1" s="1"/>
  <c r="F672" i="2"/>
  <c r="I753" i="1" s="1"/>
  <c r="F673" i="2"/>
  <c r="I754" i="1" s="1"/>
  <c r="F674" i="2"/>
  <c r="I755" i="1" s="1"/>
  <c r="F675" i="2"/>
  <c r="I756" i="1" s="1"/>
  <c r="F676" i="2"/>
  <c r="I757" i="1" s="1"/>
  <c r="F677" i="2"/>
  <c r="I758" i="1" s="1"/>
  <c r="F678" i="2"/>
  <c r="F679" i="2"/>
  <c r="I760" i="1" s="1"/>
  <c r="F680" i="2"/>
  <c r="I761" i="1" s="1"/>
  <c r="F681" i="2"/>
  <c r="I762" i="1" s="1"/>
  <c r="F682" i="2"/>
  <c r="I763" i="1" s="1"/>
  <c r="F683" i="2"/>
  <c r="F684" i="2"/>
  <c r="I765" i="1" s="1"/>
  <c r="F685" i="2"/>
  <c r="I766" i="1" s="1"/>
  <c r="F686" i="2"/>
  <c r="I767" i="1" s="1"/>
  <c r="F687" i="2"/>
  <c r="I768" i="1" s="1"/>
  <c r="F688" i="2"/>
  <c r="I769" i="1" s="1"/>
  <c r="F689" i="2"/>
  <c r="I770" i="1" s="1"/>
  <c r="F690" i="2"/>
  <c r="I771" i="1" s="1"/>
  <c r="F691" i="2"/>
  <c r="I772" i="1" s="1"/>
  <c r="F692" i="2"/>
  <c r="I773" i="1" s="1"/>
  <c r="F693" i="2"/>
  <c r="I774" i="1" s="1"/>
  <c r="F694" i="2"/>
  <c r="F695" i="2"/>
  <c r="I776" i="1" s="1"/>
  <c r="F696" i="2"/>
  <c r="I777" i="1" s="1"/>
  <c r="F697" i="2"/>
  <c r="I778" i="1" s="1"/>
  <c r="F698" i="2"/>
  <c r="I779" i="1" s="1"/>
  <c r="F699" i="2"/>
  <c r="F700" i="2"/>
  <c r="I781" i="1" s="1"/>
  <c r="F701" i="2"/>
  <c r="I782" i="1" s="1"/>
  <c r="F702" i="2"/>
  <c r="I783" i="1" s="1"/>
  <c r="F703" i="2"/>
  <c r="I784" i="1" s="1"/>
  <c r="F704" i="2"/>
  <c r="I785" i="1" s="1"/>
  <c r="F705" i="2"/>
  <c r="I786" i="1" s="1"/>
  <c r="F706" i="2"/>
  <c r="I787" i="1" s="1"/>
  <c r="F707" i="2"/>
  <c r="I788" i="1" s="1"/>
  <c r="F708" i="2"/>
  <c r="I789" i="1" s="1"/>
  <c r="F709" i="2"/>
  <c r="I790" i="1" s="1"/>
  <c r="F710" i="2"/>
  <c r="F711" i="2"/>
  <c r="I792" i="1" s="1"/>
  <c r="F712" i="2"/>
  <c r="I793" i="1" s="1"/>
  <c r="F713" i="2"/>
  <c r="I794" i="1" s="1"/>
  <c r="F714" i="2"/>
  <c r="I795" i="1" s="1"/>
  <c r="F715" i="2"/>
  <c r="F716" i="2"/>
  <c r="I797" i="1" s="1"/>
  <c r="F717" i="2"/>
  <c r="I798" i="1" s="1"/>
  <c r="F718" i="2"/>
  <c r="I799" i="1" s="1"/>
  <c r="F719" i="2"/>
  <c r="I800" i="1" s="1"/>
  <c r="F720" i="2"/>
  <c r="I801" i="1" s="1"/>
  <c r="F721" i="2"/>
  <c r="I802" i="1" s="1"/>
  <c r="F722" i="2"/>
  <c r="I803" i="1" s="1"/>
  <c r="F723" i="2"/>
  <c r="I804" i="1" s="1"/>
  <c r="F724" i="2"/>
  <c r="I805" i="1" s="1"/>
  <c r="F725" i="2"/>
  <c r="I806" i="1" s="1"/>
  <c r="F726" i="2"/>
  <c r="F727" i="2"/>
  <c r="I808" i="1" s="1"/>
  <c r="F728" i="2"/>
  <c r="I809" i="1" s="1"/>
  <c r="F729" i="2"/>
  <c r="I810" i="1" s="1"/>
  <c r="F730" i="2"/>
  <c r="I811" i="1" s="1"/>
  <c r="F731" i="2"/>
  <c r="F732" i="2"/>
  <c r="I813" i="1" s="1"/>
  <c r="F733" i="2"/>
  <c r="I814" i="1" s="1"/>
  <c r="F734" i="2"/>
  <c r="I815" i="1" s="1"/>
  <c r="F735" i="2"/>
  <c r="I816" i="1" s="1"/>
  <c r="F736" i="2"/>
  <c r="I817" i="1" s="1"/>
  <c r="F737" i="2"/>
  <c r="I818" i="1" s="1"/>
  <c r="F738" i="2"/>
  <c r="I819" i="1" s="1"/>
  <c r="F739" i="2"/>
  <c r="I820" i="1" s="1"/>
  <c r="F740" i="2"/>
  <c r="I821" i="1" s="1"/>
  <c r="F741" i="2"/>
  <c r="I822" i="1" s="1"/>
  <c r="F742" i="2"/>
  <c r="F743" i="2"/>
  <c r="I824" i="1" s="1"/>
  <c r="F744" i="2"/>
  <c r="I825" i="1" s="1"/>
  <c r="F745" i="2"/>
  <c r="I826" i="1" s="1"/>
  <c r="F746" i="2"/>
  <c r="I827" i="1" s="1"/>
  <c r="F747" i="2"/>
  <c r="F748" i="2"/>
  <c r="I829" i="1" s="1"/>
  <c r="F749" i="2"/>
  <c r="I830" i="1" s="1"/>
  <c r="F750" i="2"/>
  <c r="I831" i="1" s="1"/>
  <c r="F751" i="2"/>
  <c r="I832" i="1" s="1"/>
  <c r="F752" i="2"/>
  <c r="I833" i="1" s="1"/>
  <c r="F753" i="2"/>
  <c r="I834" i="1" s="1"/>
  <c r="F754" i="2"/>
  <c r="I835" i="1" s="1"/>
  <c r="F755" i="2"/>
  <c r="I836" i="1" s="1"/>
  <c r="F756" i="2"/>
  <c r="I837" i="1" s="1"/>
  <c r="F757" i="2"/>
  <c r="I838" i="1" s="1"/>
  <c r="F758" i="2"/>
  <c r="F759" i="2"/>
  <c r="I840" i="1" s="1"/>
  <c r="F760" i="2"/>
  <c r="I841" i="1" s="1"/>
  <c r="F761" i="2"/>
  <c r="I842" i="1" s="1"/>
  <c r="F762" i="2"/>
  <c r="F763" i="2"/>
  <c r="F764" i="2"/>
  <c r="I845" i="1" s="1"/>
  <c r="F765" i="2"/>
  <c r="I846" i="1" s="1"/>
  <c r="F766" i="2"/>
  <c r="I847" i="1" s="1"/>
  <c r="F767" i="2"/>
  <c r="I848" i="1" s="1"/>
  <c r="F768" i="2"/>
  <c r="I849" i="1" s="1"/>
  <c r="F769" i="2"/>
  <c r="I850" i="1" s="1"/>
  <c r="F770" i="2"/>
  <c r="I851" i="1" s="1"/>
  <c r="F771" i="2"/>
  <c r="I852" i="1" s="1"/>
  <c r="F772" i="2"/>
  <c r="I853" i="1" s="1"/>
  <c r="F773" i="2"/>
  <c r="I854" i="1" s="1"/>
  <c r="F774" i="2"/>
  <c r="F775" i="2"/>
  <c r="I856" i="1" s="1"/>
  <c r="F776" i="2"/>
  <c r="I857" i="1" s="1"/>
  <c r="F777" i="2"/>
  <c r="I858" i="1" s="1"/>
  <c r="F778" i="2"/>
  <c r="F779" i="2"/>
  <c r="F780" i="2"/>
  <c r="I861" i="1" s="1"/>
  <c r="F781" i="2"/>
  <c r="I862" i="1" s="1"/>
  <c r="F782" i="2"/>
  <c r="I863" i="1" s="1"/>
  <c r="F783" i="2"/>
  <c r="I864" i="1" s="1"/>
  <c r="F784" i="2"/>
  <c r="I865" i="1" s="1"/>
  <c r="F785" i="2"/>
  <c r="I866" i="1" s="1"/>
  <c r="F786" i="2"/>
  <c r="I867" i="1" s="1"/>
  <c r="F787" i="2"/>
  <c r="I868" i="1" s="1"/>
  <c r="F788" i="2"/>
  <c r="I869" i="1" s="1"/>
  <c r="F789" i="2"/>
  <c r="I870" i="1" s="1"/>
  <c r="F790" i="2"/>
  <c r="F791" i="2"/>
  <c r="I872" i="1" s="1"/>
  <c r="F792" i="2"/>
  <c r="I873" i="1" s="1"/>
  <c r="F793" i="2"/>
  <c r="I874" i="1" s="1"/>
  <c r="F794" i="2"/>
  <c r="F795" i="2"/>
  <c r="F796" i="2"/>
  <c r="I877" i="1" s="1"/>
  <c r="F797" i="2"/>
  <c r="I878" i="1" s="1"/>
  <c r="F798" i="2"/>
  <c r="I879" i="1" s="1"/>
  <c r="F799" i="2"/>
  <c r="I880" i="1" s="1"/>
  <c r="F800" i="2"/>
  <c r="I881" i="1" s="1"/>
  <c r="F801" i="2"/>
  <c r="I882" i="1" s="1"/>
  <c r="F802" i="2"/>
  <c r="F803" i="2"/>
  <c r="I884" i="1" s="1"/>
  <c r="F804" i="2"/>
  <c r="I885" i="1" s="1"/>
  <c r="F805" i="2"/>
  <c r="I886" i="1" s="1"/>
  <c r="F806" i="2"/>
  <c r="F807" i="2"/>
  <c r="I888" i="1" s="1"/>
  <c r="F808" i="2"/>
  <c r="I889" i="1" s="1"/>
  <c r="F809" i="2"/>
  <c r="F810" i="2"/>
  <c r="F811" i="2"/>
  <c r="F812" i="2"/>
  <c r="I893" i="1" s="1"/>
  <c r="F813" i="2"/>
  <c r="I894" i="1" s="1"/>
  <c r="F814" i="2"/>
  <c r="I895" i="1" s="1"/>
  <c r="F815" i="2"/>
  <c r="I896" i="1" s="1"/>
  <c r="F816" i="2"/>
  <c r="I897" i="1" s="1"/>
  <c r="F817" i="2"/>
  <c r="I898" i="1" s="1"/>
  <c r="F818" i="2"/>
  <c r="F819" i="2"/>
  <c r="I900" i="1" s="1"/>
  <c r="F820" i="2"/>
  <c r="I901" i="1" s="1"/>
  <c r="F821" i="2"/>
  <c r="I902" i="1" s="1"/>
  <c r="F822" i="2"/>
  <c r="F823" i="2"/>
  <c r="I904" i="1" s="1"/>
  <c r="F824" i="2"/>
  <c r="I905" i="1" s="1"/>
  <c r="F825" i="2"/>
  <c r="F826" i="2"/>
  <c r="F827" i="2"/>
  <c r="F828" i="2"/>
  <c r="I909" i="1" s="1"/>
  <c r="F829" i="2"/>
  <c r="I910" i="1" s="1"/>
  <c r="F830" i="2"/>
  <c r="I911" i="1" s="1"/>
  <c r="F831" i="2"/>
  <c r="I912" i="1" s="1"/>
  <c r="F832" i="2"/>
  <c r="I913" i="1" s="1"/>
  <c r="F833" i="2"/>
  <c r="I914" i="1" s="1"/>
  <c r="F834" i="2"/>
  <c r="F835" i="2"/>
  <c r="I916" i="1" s="1"/>
  <c r="F836" i="2"/>
  <c r="I917" i="1" s="1"/>
  <c r="F837" i="2"/>
  <c r="I918" i="1" s="1"/>
  <c r="F838" i="2"/>
  <c r="F839" i="2"/>
  <c r="I920" i="1" s="1"/>
  <c r="F840" i="2"/>
  <c r="I921" i="1" s="1"/>
  <c r="F841" i="2"/>
  <c r="F842" i="2"/>
  <c r="F843" i="2"/>
  <c r="F844" i="2"/>
  <c r="I925" i="1" s="1"/>
  <c r="F845" i="2"/>
  <c r="I926" i="1" s="1"/>
  <c r="F846" i="2"/>
  <c r="I927" i="1" s="1"/>
  <c r="F847" i="2"/>
  <c r="I928" i="1" s="1"/>
  <c r="F848" i="2"/>
  <c r="I929" i="1" s="1"/>
  <c r="F849" i="2"/>
  <c r="I930" i="1" s="1"/>
  <c r="F850" i="2"/>
  <c r="F851" i="2"/>
  <c r="I932" i="1" s="1"/>
  <c r="F852" i="2"/>
  <c r="I933" i="1" s="1"/>
  <c r="F853" i="2"/>
  <c r="I934" i="1" s="1"/>
  <c r="F854" i="2"/>
  <c r="F855" i="2"/>
  <c r="I936" i="1" s="1"/>
  <c r="F856" i="2"/>
  <c r="I937" i="1" s="1"/>
  <c r="F857" i="2"/>
  <c r="F858" i="2"/>
  <c r="F859" i="2"/>
  <c r="F860" i="2"/>
  <c r="I957" i="1" s="1"/>
  <c r="F861" i="2"/>
  <c r="I958" i="1" s="1"/>
  <c r="F862" i="2"/>
  <c r="I959" i="1" s="1"/>
  <c r="F863" i="2"/>
  <c r="I960" i="1" s="1"/>
  <c r="F864" i="2"/>
  <c r="I961" i="1" s="1"/>
  <c r="F865" i="2"/>
  <c r="I962" i="1" s="1"/>
  <c r="F866" i="2"/>
  <c r="F867" i="2"/>
  <c r="I964" i="1" s="1"/>
  <c r="F868" i="2"/>
  <c r="I965" i="1" s="1"/>
  <c r="F869" i="2"/>
  <c r="I966" i="1" s="1"/>
  <c r="F870" i="2"/>
  <c r="F871" i="2"/>
  <c r="I968" i="1" s="1"/>
  <c r="F872" i="2"/>
  <c r="I969" i="1" s="1"/>
  <c r="F873" i="2"/>
  <c r="F874" i="2"/>
  <c r="F875" i="2"/>
  <c r="F876" i="2"/>
  <c r="I973" i="1" s="1"/>
  <c r="F877" i="2"/>
  <c r="I974" i="1" s="1"/>
  <c r="F878" i="2"/>
  <c r="I975" i="1" s="1"/>
  <c r="F879" i="2"/>
  <c r="I976" i="1" s="1"/>
  <c r="F880" i="2"/>
  <c r="I977" i="1" s="1"/>
  <c r="F881" i="2"/>
  <c r="I978" i="1" s="1"/>
  <c r="F882" i="2"/>
  <c r="F883" i="2"/>
  <c r="I980" i="1" s="1"/>
  <c r="F884" i="2"/>
  <c r="I981" i="1" s="1"/>
  <c r="F885" i="2"/>
  <c r="I982" i="1" s="1"/>
  <c r="F886" i="2"/>
  <c r="F887" i="2"/>
  <c r="I984" i="1" s="1"/>
  <c r="F888" i="2"/>
  <c r="I985" i="1" s="1"/>
  <c r="F889" i="2"/>
  <c r="F890" i="2"/>
  <c r="F891" i="2"/>
  <c r="F892" i="2"/>
  <c r="I989" i="1" s="1"/>
  <c r="F893" i="2"/>
  <c r="I990" i="1" s="1"/>
  <c r="F894" i="2"/>
  <c r="I991" i="1" s="1"/>
  <c r="F895" i="2"/>
  <c r="I992" i="1" s="1"/>
  <c r="F896" i="2"/>
  <c r="I993" i="1" s="1"/>
  <c r="F897" i="2"/>
  <c r="I994" i="1" s="1"/>
  <c r="F898" i="2"/>
  <c r="F899" i="2"/>
  <c r="F900" i="2"/>
  <c r="F901" i="2"/>
  <c r="I998" i="1" s="1"/>
  <c r="F902" i="2"/>
  <c r="F903" i="2"/>
  <c r="I1000" i="1" s="1"/>
  <c r="F904" i="2"/>
  <c r="I1001" i="1" s="1"/>
  <c r="F905" i="2"/>
  <c r="F906" i="2"/>
  <c r="F907" i="2"/>
  <c r="F908" i="2"/>
  <c r="I1005" i="1" s="1"/>
  <c r="F909" i="2"/>
  <c r="I1006" i="1" s="1"/>
  <c r="F910" i="2"/>
  <c r="I1007" i="1" s="1"/>
  <c r="F911" i="2"/>
  <c r="I1008" i="1" s="1"/>
  <c r="F912" i="2"/>
  <c r="I1009" i="1" s="1"/>
  <c r="F913" i="2"/>
  <c r="I1010" i="1" s="1"/>
  <c r="F914" i="2"/>
  <c r="F915" i="2"/>
  <c r="F916" i="2"/>
  <c r="F917" i="2"/>
  <c r="I1014" i="1" s="1"/>
  <c r="F918" i="2"/>
  <c r="F919" i="2"/>
  <c r="I1016" i="1" s="1"/>
  <c r="F920" i="2"/>
  <c r="I1017" i="1" s="1"/>
  <c r="F921" i="2"/>
  <c r="F922" i="2"/>
  <c r="F923" i="2"/>
  <c r="F924" i="2"/>
  <c r="I1021" i="1" s="1"/>
  <c r="F925" i="2"/>
  <c r="I1022" i="1" s="1"/>
  <c r="F926" i="2"/>
  <c r="I1023" i="1" s="1"/>
  <c r="F927" i="2"/>
  <c r="I1024" i="1" s="1"/>
  <c r="F928" i="2"/>
  <c r="I1025" i="1" s="1"/>
  <c r="F929" i="2"/>
  <c r="I1026" i="1" s="1"/>
  <c r="F930" i="2"/>
  <c r="F931" i="2"/>
  <c r="F932" i="2"/>
  <c r="F933" i="2"/>
  <c r="I1034" i="1" s="1"/>
  <c r="F934" i="2"/>
  <c r="F935" i="2"/>
  <c r="F936" i="2"/>
  <c r="F2" i="2"/>
  <c r="I83" i="1" s="1"/>
  <c r="I2" i="2" l="1" a="1"/>
  <c r="I2" i="2" s="1"/>
  <c r="J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<sst xmlns="http://schemas.openxmlformats.org/spreadsheetml/2006/main" count="7125" uniqueCount="1597">
  <si>
    <t>Effective Date</t>
  </si>
  <si>
    <t>Fund Name</t>
  </si>
  <si>
    <t>Option Name</t>
  </si>
  <si>
    <t>Asset Class Name</t>
  </si>
  <si>
    <t>Int/Ext</t>
  </si>
  <si>
    <t>Name/Kind of Investment Item</t>
  </si>
  <si>
    <t>Currency</t>
  </si>
  <si>
    <t>Stock ID</t>
  </si>
  <si>
    <t>Listed Country</t>
  </si>
  <si>
    <t>Units Held</t>
  </si>
  <si>
    <t>% Ownership</t>
  </si>
  <si>
    <t>Address</t>
  </si>
  <si>
    <t>Value (AUD)</t>
  </si>
  <si>
    <t>Weighting (%)</t>
  </si>
  <si>
    <t>Vision Super Fund</t>
  </si>
  <si>
    <t>Balanced growth</t>
  </si>
  <si>
    <t>Cash</t>
  </si>
  <si>
    <t>JP Morgan Chase</t>
  </si>
  <si>
    <t>AUD</t>
  </si>
  <si>
    <t>AUSTRALIA &amp; NEW ZEALAND BANKING GROUP LTD</t>
  </si>
  <si>
    <t>CITI GROUP</t>
  </si>
  <si>
    <t>USD</t>
  </si>
  <si>
    <t>Citibank</t>
  </si>
  <si>
    <t>COMMONWEALTH BANK OF AUSTRALIA</t>
  </si>
  <si>
    <t>CREDIT AGRICOLE CORP</t>
  </si>
  <si>
    <t>FINISTERRE EMD TRF</t>
  </si>
  <si>
    <t>BRL</t>
  </si>
  <si>
    <t>CLP</t>
  </si>
  <si>
    <t>CNH</t>
  </si>
  <si>
    <t>CZK</t>
  </si>
  <si>
    <t>EGP</t>
  </si>
  <si>
    <t>EUR</t>
  </si>
  <si>
    <t>HUF</t>
  </si>
  <si>
    <t>ILS</t>
  </si>
  <si>
    <t>INR</t>
  </si>
  <si>
    <t>MXN</t>
  </si>
  <si>
    <t>NGN</t>
  </si>
  <si>
    <t>PEN</t>
  </si>
  <si>
    <t>PLN</t>
  </si>
  <si>
    <t>THB</t>
  </si>
  <si>
    <t>TRY</t>
  </si>
  <si>
    <t>ZAR</t>
  </si>
  <si>
    <t>ZMW</t>
  </si>
  <si>
    <t>Generation Investment Management LLP</t>
  </si>
  <si>
    <t>HSBC</t>
  </si>
  <si>
    <t>IFM Investors Pty Ltd</t>
  </si>
  <si>
    <t>International equities transition account</t>
  </si>
  <si>
    <t>ISPT Pty Ltd</t>
  </si>
  <si>
    <t>CAD</t>
  </si>
  <si>
    <t>CHF</t>
  </si>
  <si>
    <t>CNY</t>
  </si>
  <si>
    <t>COP</t>
  </si>
  <si>
    <t>DKK</t>
  </si>
  <si>
    <t>GBP</t>
  </si>
  <si>
    <t>HKD</t>
  </si>
  <si>
    <t>JPY</t>
  </si>
  <si>
    <t>NOK</t>
  </si>
  <si>
    <t>NZD</t>
  </si>
  <si>
    <t>SAR</t>
  </si>
  <si>
    <t>SEK</t>
  </si>
  <si>
    <t>SGD</t>
  </si>
  <si>
    <t>VND</t>
  </si>
  <si>
    <t>JPMORGAN CHASE &amp; CO</t>
  </si>
  <si>
    <t>Macquarie</t>
  </si>
  <si>
    <t>Metrics Credit Partners Pty Ltd</t>
  </si>
  <si>
    <t>NATIONAL AUSTRALIA BANK LTD</t>
  </si>
  <si>
    <t>Norfina Limited</t>
  </si>
  <si>
    <t>ROC Capital Pty Limited</t>
  </si>
  <si>
    <t>STANDARD CHARTERED BANK</t>
  </si>
  <si>
    <t>State Street Global Advisors, Australia, Limited</t>
  </si>
  <si>
    <t>Vision Cash</t>
  </si>
  <si>
    <t>Sub Total</t>
  </si>
  <si>
    <t>Fixed Income Internal</t>
  </si>
  <si>
    <t>BANK OF QUEENSLAND LTD</t>
  </si>
  <si>
    <t>BENDIGO &amp; ADELAIDE BANK LTD</t>
  </si>
  <si>
    <t>WESTPAC BANKING CORP</t>
  </si>
  <si>
    <t>Fixed Income External</t>
  </si>
  <si>
    <t>Amundi Singapore Limited</t>
  </si>
  <si>
    <t>Barings Global Advisers Limited</t>
  </si>
  <si>
    <t>Brandywine Global Investment Management, LLC</t>
  </si>
  <si>
    <t>Principal Global Investors (Australia) Limited</t>
  </si>
  <si>
    <t>Listed Equity</t>
  </si>
  <si>
    <t>29METALS LTD COMMON STOCK AUD</t>
  </si>
  <si>
    <t>BNNVRL0</t>
  </si>
  <si>
    <t>3I GROUP PLC COMMON STOCK GBP 73.8636</t>
  </si>
  <si>
    <t>B1YW440</t>
  </si>
  <si>
    <t>A2 MILK CO LTD/THE COMMON STOCK NZD 0</t>
  </si>
  <si>
    <t>2F5232S</t>
  </si>
  <si>
    <t>ABB INDIA LTD COMMON STOCK INR 2</t>
  </si>
  <si>
    <t>B1Y9QS9</t>
  </si>
  <si>
    <t>ABB LTD COMMON STOCK CHF 0.12</t>
  </si>
  <si>
    <t>ABBOTT LABORATORIES COMMON STOCK USD 0</t>
  </si>
  <si>
    <t>ABBVIE INC COMMON STOCK USD 0.01</t>
  </si>
  <si>
    <t>B92SR70</t>
  </si>
  <si>
    <t>ACCENT GROUP LTD COMMON STOCK AUD 0</t>
  </si>
  <si>
    <t>BD20RS5</t>
  </si>
  <si>
    <t>ACCENTURE PLC COMMON STOCK USD 0.0000225</t>
  </si>
  <si>
    <t>B4BNMY3</t>
  </si>
  <si>
    <t>ACS ACTIVIDADES DE CONSTRUCCION Y SERVICIOS SA</t>
  </si>
  <si>
    <t>B01FLQ6</t>
  </si>
  <si>
    <t>ADAIRS LTD COMMON STOCK AUD</t>
  </si>
  <si>
    <t>BYYT7Q5</t>
  </si>
  <si>
    <t>ADOBE INC COMMON STOCK USD 0.0001</t>
  </si>
  <si>
    <t>ADVANCED MICRO DEVICES INC COMMON STOCK USD 0.01</t>
  </si>
  <si>
    <t>ADVANTEST CORP COMMON STOCK JPY</t>
  </si>
  <si>
    <t>ADYEN NV COMMON STOCK EUR 0.01</t>
  </si>
  <si>
    <t>BZ1HM42</t>
  </si>
  <si>
    <t>AERCAP HOLDINGS NV COMMON STOCK USD 0.01</t>
  </si>
  <si>
    <t>B1HHKD3</t>
  </si>
  <si>
    <t>AFLAC INC COMMON STOCK USD 0.1</t>
  </si>
  <si>
    <t>AGEAS SA/NV COMMON STOCK EUR 0</t>
  </si>
  <si>
    <t>B86S2N0</t>
  </si>
  <si>
    <t>AGILENT TECHNOLOGIES INC COMMON STOCK USD 0.01</t>
  </si>
  <si>
    <t>AGNICO EAGLE MINES LTD COMMON STOCK CAD 0</t>
  </si>
  <si>
    <t>AIA GROUP LTD COMMON STOCK HKD 0</t>
  </si>
  <si>
    <t>B4TX8S1</t>
  </si>
  <si>
    <t>AIB GROUP PLC COMMON STOCK EUR 0.625</t>
  </si>
  <si>
    <t>BF0L353</t>
  </si>
  <si>
    <t>AIR CANADA COMMON STOCK CAD 0</t>
  </si>
  <si>
    <t>BSDHYK1</t>
  </si>
  <si>
    <t>AIRBUS SE COMMON STOCK EUR 1</t>
  </si>
  <si>
    <t>AKBANK TAS COMMON STOCK TRY 1</t>
  </si>
  <si>
    <t>B03MN70</t>
  </si>
  <si>
    <t>AL RAJHI BANK COMMON STOCK SAR 10</t>
  </si>
  <si>
    <t>B12LZH9</t>
  </si>
  <si>
    <t>ALDAR PROPERTIES PJSC COMMON STOCK AED 1</t>
  </si>
  <si>
    <t>B0LX3Y2</t>
  </si>
  <si>
    <t>ALIBABA GROUP HOLDING LTD ADR USD 0.000025</t>
  </si>
  <si>
    <t>BP41ZD1</t>
  </si>
  <si>
    <t>ALIBABA GROUP HOLDING LTD COMMON STOCK HKD</t>
  </si>
  <si>
    <t>BK6YZP5</t>
  </si>
  <si>
    <t>ALLEGION PLC COMMON STOCK USD 0.01</t>
  </si>
  <si>
    <t>BFRT3W7</t>
  </si>
  <si>
    <t>ALLIANZ SE COMMON STOCK EUR 0</t>
  </si>
  <si>
    <t>ALPHABET INC COMMON STOCK USD 0.001</t>
  </si>
  <si>
    <t>BYVY8G0</t>
  </si>
  <si>
    <t>BYY88Y7</t>
  </si>
  <si>
    <t>ALS LTD COMMON STOCK AUD 0</t>
  </si>
  <si>
    <t>B86SZR5</t>
  </si>
  <si>
    <t>AMADEUS IT GROUP SA COMMON STOCK EUR 0.01</t>
  </si>
  <si>
    <t>B3MSM28</t>
  </si>
  <si>
    <t>AMAZON.COM INC COMMON STOCK USD 0.01</t>
  </si>
  <si>
    <t>AMCOR PLC CDI AUD 0</t>
  </si>
  <si>
    <t>3F0936S</t>
  </si>
  <si>
    <t>AMCOR PLC COMMON STOCK USD 0.01</t>
  </si>
  <si>
    <t>BJ1F307</t>
  </si>
  <si>
    <t>AMERICAN EXPRESS CO COMMON STOCK USD 0.2</t>
  </si>
  <si>
    <t>AMERICAN INTERNATIONAL GROUP INC COMMON STOCK USD</t>
  </si>
  <si>
    <t>AMERICANA RESTAURANTS INTERNATIONAL PLC COMMON</t>
  </si>
  <si>
    <t>BP4X2F8</t>
  </si>
  <si>
    <t>AMERIPRISE FINANCIAL INC COMMON STOCK USD 0.01</t>
  </si>
  <si>
    <t>B0J7D57</t>
  </si>
  <si>
    <t>AMGEN INC COMMON STOCK USD 0.0001</t>
  </si>
  <si>
    <t>AMOTIV LTD COMMON STOCK AUD 0</t>
  </si>
  <si>
    <t>BQH8HH4</t>
  </si>
  <si>
    <t>AMP LTD COMMON STOCK AUD 0</t>
  </si>
  <si>
    <t>AMPHENOL CORP COMMON STOCK USD 0.001</t>
  </si>
  <si>
    <t>AMPOL LTD COMMON STOCK AUD 0</t>
  </si>
  <si>
    <t>BM91201</t>
  </si>
  <si>
    <t>ANALOG DEVICES INC COMMON STOCK USD 0.167</t>
  </si>
  <si>
    <t>ANSELL LTD COMMON STOCK AUD 0</t>
  </si>
  <si>
    <t>3F0097S</t>
  </si>
  <si>
    <t>ANTA SPORTS PRODUCTS LTD COMMON STOCK HKD 0.1</t>
  </si>
  <si>
    <t>B1YVKN8</t>
  </si>
  <si>
    <t>ANZ GROUP HOLDINGS LTD COMMON STOCK AUD 0</t>
  </si>
  <si>
    <t>APOLLO GLOBAL MANAGEMENT INC COMMON STOCK USD</t>
  </si>
  <si>
    <t>BN44JF6</t>
  </si>
  <si>
    <t>APOLLO HOSPITALS ENTERPRISE LTD COMMON STOCK INR 5</t>
  </si>
  <si>
    <t>APPEN LTD COMMON STOCK AUD 0</t>
  </si>
  <si>
    <t>BTPJH25</t>
  </si>
  <si>
    <t>APPLE INC COMMON STOCK USD 0.00001</t>
  </si>
  <si>
    <t>APPLIED MATERIALS INC COMMON STOCK USD 0.01</t>
  </si>
  <si>
    <t>APPLOVIN CORP COMMON STOCK USD 0.00003</t>
  </si>
  <si>
    <t>BMV3LG4</t>
  </si>
  <si>
    <t>ARAB NATIONAL BANK COMMON STOCK SAR 10</t>
  </si>
  <si>
    <t>B12LZK2</t>
  </si>
  <si>
    <t>ARB CORP LTD COMMON STOCK AUD 0</t>
  </si>
  <si>
    <t>BWV03W5</t>
  </si>
  <si>
    <t>ARCA CONTINENTAL SAB DE CV COMMON STOCK MXN 0</t>
  </si>
  <si>
    <t>ARISTOCRAT LEISURE LTD</t>
  </si>
  <si>
    <t>ASAHI KASEI CORP COMMON STOCK JPY</t>
  </si>
  <si>
    <t>ASIAN PAINTS LTD COMMON STOCK INR 1</t>
  </si>
  <si>
    <t>BCRWL65</t>
  </si>
  <si>
    <t>ASICS CORP COMMON STOCK JPY</t>
  </si>
  <si>
    <t>ASML HOLDING NV COMMON STOCK EUR 0.09</t>
  </si>
  <si>
    <t>B929F46</t>
  </si>
  <si>
    <t>ASML HOLDING NV NY REG SHRS USD 0.09</t>
  </si>
  <si>
    <t>B908F01</t>
  </si>
  <si>
    <t>ASTELLAS PHARMA INC COMMON STOCK JPY</t>
  </si>
  <si>
    <t>ASTRAZENECA PLC ADR USD</t>
  </si>
  <si>
    <t>ASTRAZENECA PLC COMMON STOCK GBP 0.25</t>
  </si>
  <si>
    <t>ASUSTEK COMPUTER INC COMMON STOCK TWD 10</t>
  </si>
  <si>
    <t>ASX LTD COMMON STOCK AUD 0</t>
  </si>
  <si>
    <t>AT&amp;T INC COMMON STOCK USD 1</t>
  </si>
  <si>
    <t>ATLASSIAN CORP COMMON STOCK USD 0.00001</t>
  </si>
  <si>
    <t>BQ1PC76</t>
  </si>
  <si>
    <t>AUB GROUP LTD COMMON STOCK AUD 0</t>
  </si>
  <si>
    <t>B0MBNC3</t>
  </si>
  <si>
    <t>AUCKLAND INTERNATIONAL AIRPORT LTD COMMON STOCK</t>
  </si>
  <si>
    <t>3F0911S</t>
  </si>
  <si>
    <t>AURELIA METALS LTD COMMON STOCK AUD 0</t>
  </si>
  <si>
    <t>BN790Y4</t>
  </si>
  <si>
    <t>AURIZON HOLDINGS LTD COMMON STOCK AUD</t>
  </si>
  <si>
    <t>B87CVM3</t>
  </si>
  <si>
    <t>AUSSIE BROADBAND LTD COMMON STOCK AUD</t>
  </si>
  <si>
    <t>BM8HZC3</t>
  </si>
  <si>
    <t>AUSTAL LTD COMMON STOCK AUD 0</t>
  </si>
  <si>
    <t>AUSTIN ENGINEERING LTD COMMON STOCK AUD 0</t>
  </si>
  <si>
    <t>AUSTRALIAN CLINICAL LABS LTD COMMON STOCK AUD</t>
  </si>
  <si>
    <t>BMWLLJ0</t>
  </si>
  <si>
    <t>AUSTRALIAN FINANCE GROUP LTD COMMON STOCK AUD</t>
  </si>
  <si>
    <t>BY4K6K5</t>
  </si>
  <si>
    <t>AUSWIDE BANK LTD COMMON STOCK AUD 0</t>
  </si>
  <si>
    <t>BWCHB54</t>
  </si>
  <si>
    <t>AUTOMATIC DATA PROCESSING INC COMMON STOCK USD 0.1</t>
  </si>
  <si>
    <t>AUTOSPORTS GROUP LTD COMMON STOCK AUD</t>
  </si>
  <si>
    <t>BZBHBJ0</t>
  </si>
  <si>
    <t>AVENUE SUPERMARTS LTD COMMON STOCK INR 10</t>
  </si>
  <si>
    <t>BYW1G33</t>
  </si>
  <si>
    <t>AVERY DENNISON CORP COMMON STOCK USD 1</t>
  </si>
  <si>
    <t>AVIVA PLC COMMON STOCK GBP 32.89474</t>
  </si>
  <si>
    <t>BPQY8M8</t>
  </si>
  <si>
    <t>AXA SA COMMON STOCK EUR 2.29</t>
  </si>
  <si>
    <t>BABY BUNTING GROUP LTD COMMON STOCK AUD</t>
  </si>
  <si>
    <t>BYRJS58</t>
  </si>
  <si>
    <t>BAE SYSTEMS PLC</t>
  </si>
  <si>
    <t>BAJAJ AUTO LTD COMMON STOCK INR 10</t>
  </si>
  <si>
    <t>B2QKXW0</t>
  </si>
  <si>
    <t>BAJAJ FINANCE LTD COMMON STOCK INR 2</t>
  </si>
  <si>
    <t>BD2N0P2</t>
  </si>
  <si>
    <t>BAKER HUGHES CO COMMON STOCK USD 0.0001</t>
  </si>
  <si>
    <t>BDHLTQ5</t>
  </si>
  <si>
    <t>BANCO BILBAO VIZCAYA ARGENTARIA SA COMMON STOCK</t>
  </si>
  <si>
    <t>BANCOLOMBIA SA PREFERENCE COP 500</t>
  </si>
  <si>
    <t>BJ62LW1</t>
  </si>
  <si>
    <t>BANDAI NAMCO HOLDINGS INC COMMON STOCK JPY</t>
  </si>
  <si>
    <t>B0JDQD4</t>
  </si>
  <si>
    <t>BANK CENTRAL ASIA TBK PT COMMON STOCK IDR 12.5</t>
  </si>
  <si>
    <t>B01C1P6</t>
  </si>
  <si>
    <t>BANK LEUMI LE-ISRAEL BM COMMON STOCK ILS 0.1</t>
  </si>
  <si>
    <t>BANK MANDIRI PERSERO TBK PT COMMON STOCK IDR 125</t>
  </si>
  <si>
    <t>BANK OF AMERICA CORP COMMON STOCK USD 0.01</t>
  </si>
  <si>
    <t>BANK OF NEW YORK MELLON CORP/THE COMMON STOCK USD</t>
  </si>
  <si>
    <t>B1Z77F6</t>
  </si>
  <si>
    <t>BANK OF QUEENSLAND LTD COMMON STOCK AUD 0</t>
  </si>
  <si>
    <t>BANK POLSKA KASA OPIEKI SA COMMON STOCK PLN 1</t>
  </si>
  <si>
    <t>BANK RAKYAT INDONESIA PERSERO TBK PT COMMON STOCK</t>
  </si>
  <si>
    <t>BAPCOR LTD COMMON STOCK AUD 0</t>
  </si>
  <si>
    <t>BLD2CY7</t>
  </si>
  <si>
    <t>BARCLAYS PLC COMMON STOCK GBP 25</t>
  </si>
  <si>
    <t>BAYERISCHE MOTOREN WERKE AG COMMON STOCK EUR 1</t>
  </si>
  <si>
    <t>BEACON LIGHTING GROUP LTD COMMON STOCK AUD 0</t>
  </si>
  <si>
    <t>BKXF175</t>
  </si>
  <si>
    <t>BECTON DICKINSON &amp; CO COMMON STOCK USD 1</t>
  </si>
  <si>
    <t>BEGA CHEESE LTD COMMON STOCK AUD 0</t>
  </si>
  <si>
    <t>B56CQJ5</t>
  </si>
  <si>
    <t>BEIGENE LTD ADR USD 0.0001</t>
  </si>
  <si>
    <t>BYYWPW6</t>
  </si>
  <si>
    <t>BEIJING ORIENTAL YUHONG WATERPROOF TECHNOLOGY CO</t>
  </si>
  <si>
    <t>BD5CFP1</t>
  </si>
  <si>
    <t>BENDIGO &amp; ADELAIDE BANK LTD COMMON STOCK AUD 0</t>
  </si>
  <si>
    <t>BERKSHIRE HATHAWAY INC COMMON STOCK USD 0.0033</t>
  </si>
  <si>
    <t>BEST BUY CO INC COMMON STOCK USD 0.1</t>
  </si>
  <si>
    <t>BHARAT PETROLEUM CORP LTD COMMON STOCK INR 10</t>
  </si>
  <si>
    <t>BHP GROUP LTD COMMON STOCK AUD 0</t>
  </si>
  <si>
    <t>0F8798S</t>
  </si>
  <si>
    <t>BILIBILI INC COMMON STOCK HKD 0.0001</t>
  </si>
  <si>
    <t>BLF8533</t>
  </si>
  <si>
    <t>BIONTECH SE ADR USD</t>
  </si>
  <si>
    <t>BK6H543</t>
  </si>
  <si>
    <t>BLACKROCK INC COMMON STOCK USD 0.01</t>
  </si>
  <si>
    <t>BMZBBT7</t>
  </si>
  <si>
    <t>BLOCK INC CDI AUD</t>
  </si>
  <si>
    <t>BMHJ8W1</t>
  </si>
  <si>
    <t>BLOCK INC COMMON STOCK USD 0.000001</t>
  </si>
  <si>
    <t>BYNZGK1</t>
  </si>
  <si>
    <t>BLUESCOPE STEEL LTD COMMON STOCK AUD 0</t>
  </si>
  <si>
    <t>BNP PARIBAS SA COMMON STOCK EUR 2</t>
  </si>
  <si>
    <t>BOC HONG KONG HOLDINGS LTD COMMON STOCK HKD 0</t>
  </si>
  <si>
    <t>BOLIDEN AB COMMON STOCK SEK 2.11</t>
  </si>
  <si>
    <t>BPYTZ57</t>
  </si>
  <si>
    <t>BOOKING HOLDINGS INC COMMON STOCK USD 0.008</t>
  </si>
  <si>
    <t>BDRXDB4</t>
  </si>
  <si>
    <t>BOOZ ALLEN HAMILTON HOLDING CORP COMMON STOCK USD</t>
  </si>
  <si>
    <t>B5367T7</t>
  </si>
  <si>
    <t>BOSIDENG INTERNATIONAL HOLDINGS LTD COMMON STOCK</t>
  </si>
  <si>
    <t>B24FZ32</t>
  </si>
  <si>
    <t>BOSTON SCIENTIFIC CORP COMMON STOCK USD 0.01</t>
  </si>
  <si>
    <t>BPER BANCA SPA COMMON STOCK EUR 0</t>
  </si>
  <si>
    <t>BRAMBLES LTD COMMON STOCK AUD 0</t>
  </si>
  <si>
    <t>X71FD49</t>
  </si>
  <si>
    <t>BRAVURA SOLUTIONS LTD COMMON STOCK AUD</t>
  </si>
  <si>
    <t>BZBHBM3</t>
  </si>
  <si>
    <t>BREVILLE GROUP LTD COMMON STOCK AUD 0</t>
  </si>
  <si>
    <t>BRISTOL-MYERS SQUIBB CO COMMON STOCK USD 0.1</t>
  </si>
  <si>
    <t>BRITANNIA INDUSTRIES LTD COMMON STOCK INR 1</t>
  </si>
  <si>
    <t>BGSQG47</t>
  </si>
  <si>
    <t>BROADCOM INC COMMON STOCK USD</t>
  </si>
  <si>
    <t>BDZ78H9</t>
  </si>
  <si>
    <t>BROADRIDGE FINANCIAL SOLUTIONS INC COMMON STOCK</t>
  </si>
  <si>
    <t>B1VP7R6</t>
  </si>
  <si>
    <t>BYD CO LTD COMMON STOCK HKD 1</t>
  </si>
  <si>
    <t>CANADIAN IMPERIAL BANK OF COMMERCE COMMON STOCK</t>
  </si>
  <si>
    <t>CANADIAN TIRE CORP LTD COMMON STOCK CAD 0</t>
  </si>
  <si>
    <t>CANON INC COMMON STOCK JPY</t>
  </si>
  <si>
    <t>CAPITAL ONE FINANCIAL CORP COMMON STOCK USD 0.01</t>
  </si>
  <si>
    <t>CAPRICORN METALS LTD COMMON STOCK AUD</t>
  </si>
  <si>
    <t>BDD98W2</t>
  </si>
  <si>
    <t>CAR GROUP LTD COMMON STOCK AUD</t>
  </si>
  <si>
    <t>BW0BGZ3</t>
  </si>
  <si>
    <t>CARDINAL HEALTH INC COMMON STOCK USD 0</t>
  </si>
  <si>
    <t>CARLISLE COS INC COMMON STOCK USD 1</t>
  </si>
  <si>
    <t>CARLSBERG AS COMMON STOCK DKK 20</t>
  </si>
  <si>
    <t>CARLYLE GROUP INC/THE COMMON STOCK USD 1</t>
  </si>
  <si>
    <t>BKRTG56</t>
  </si>
  <si>
    <t>CARNIVAL CORP COMMON STOCK USD 0.01</t>
  </si>
  <si>
    <t>CATERPILLAR INC COMMON STOCK USD 1</t>
  </si>
  <si>
    <t>CATHAY FINANCIAL HOLDING CO LTD COMMON STOCK TWD</t>
  </si>
  <si>
    <t>CBOE GLOBAL MARKETS INC COMMON STOCK USD</t>
  </si>
  <si>
    <t>B5834C5</t>
  </si>
  <si>
    <t>CBRE GROUP INC COMMON STOCK USD 0.01</t>
  </si>
  <si>
    <t>B6WVMH3</t>
  </si>
  <si>
    <t>CCL INDUSTRIES INC COMMON STOCK CAD 0</t>
  </si>
  <si>
    <t>CEDAR WOODS PROPERTIES LTD COMMON STOCK AUD 0</t>
  </si>
  <si>
    <t>CENCOSUD SA COMMON STOCK CLP 0</t>
  </si>
  <si>
    <t>B00R3L2</t>
  </si>
  <si>
    <t>CENTENE CORP COMMON STOCK USD 0.001</t>
  </si>
  <si>
    <t>CENTRICA PLC COMMON STOCK GBP 6.1728</t>
  </si>
  <si>
    <t>B033F22</t>
  </si>
  <si>
    <t>CGN POWER CO LTD COMMON STOCK CNY 1</t>
  </si>
  <si>
    <t>BKT6GZ5</t>
  </si>
  <si>
    <t>CGN POWER CO LTD COMMON STOCK HKD 1</t>
  </si>
  <si>
    <t>BSBMM04</t>
  </si>
  <si>
    <t>CHALLENGER LTD COMMON STOCK AUD 0</t>
  </si>
  <si>
    <t>CHAMPION IRON LTD COMMON STOCK AUD 0</t>
  </si>
  <si>
    <t>BLD1SB3</t>
  </si>
  <si>
    <t>CHARTWELL RETIREMENT RESIDENCES UNIT</t>
  </si>
  <si>
    <t>B8S8C94</t>
  </si>
  <si>
    <t>CHEVRON CORP COMMON STOCK USD 0.75</t>
  </si>
  <si>
    <t>CHINA CONSTRUCTION BANK CORP COMMON STOCK HKD 1</t>
  </si>
  <si>
    <t>B0LMTQ3</t>
  </si>
  <si>
    <t>CHINA FEIHE LTD COMMON STOCK HKD 0.000000025</t>
  </si>
  <si>
    <t>BK0SBL1</t>
  </si>
  <si>
    <t>CHINA MERCHANTS BANK CO LTD COMMON STOCK HKD 1</t>
  </si>
  <si>
    <t>B1DYPZ5</t>
  </si>
  <si>
    <t>CHINA MOLYBDENUM CO LTD</t>
  </si>
  <si>
    <t>B1VRCG6</t>
  </si>
  <si>
    <t>CHINA OVERSEAS LAND &amp; INVESTMENT LTD COMMON STOCK</t>
  </si>
  <si>
    <t>CHINA RESOURCES GAS GROUP LTD COMMON STOCK HKD 0.1</t>
  </si>
  <si>
    <t>CHINA RESOURCES LAND LTD COMMON STOCK HKD 0.1</t>
  </si>
  <si>
    <t>CHIPOTLE MEXICAN GRILL INC COMMON STOCK USD 0.01</t>
  </si>
  <si>
    <t>B0X7DZ3</t>
  </si>
  <si>
    <t>CHOCOLADEFABRIKEN LINDT &amp; SPRUENGLI AG COMMON</t>
  </si>
  <si>
    <t>CHORUS LTD COMMON STOCK NZD 0</t>
  </si>
  <si>
    <t>6F3448S</t>
  </si>
  <si>
    <t>CHUBB LTD COMMON STOCK USD 24.15</t>
  </si>
  <si>
    <t>B3BQMF6</t>
  </si>
  <si>
    <t>CHUBU ELECTRIC POWER CO INC COMMON STOCK JPY</t>
  </si>
  <si>
    <t>CIA ENERGETICA DE MINAS GERAIS COMMON STOCK BRL 5</t>
  </si>
  <si>
    <t>B1YBRK4</t>
  </si>
  <si>
    <t>CIA ENERGETICA DE MINAS GERAIS PREFERENCE BRL 5</t>
  </si>
  <si>
    <t>B1YBRG0</t>
  </si>
  <si>
    <t>CIA PARANAENSE DE ENERGIA - COPEL PREFERENCE BRL 0</t>
  </si>
  <si>
    <t>CIE DE SAINT-GOBAIN SA COMMON STOCK EUR 4</t>
  </si>
  <si>
    <t>CIGNA GROUP/THE COMMON STOCK USD 0.01</t>
  </si>
  <si>
    <t>BHJ0775</t>
  </si>
  <si>
    <t>CIMB GROUP HOLDINGS BHD COMMON STOCK MYR 0</t>
  </si>
  <si>
    <t>CINCINNATI FINANCIAL CORP COMMON STOCK USD 2</t>
  </si>
  <si>
    <t>CINTAS CORP COMMON STOCK USD 0</t>
  </si>
  <si>
    <t>CIPLA LTD/INDIA COMMON STOCK INR 2</t>
  </si>
  <si>
    <t>B011108</t>
  </si>
  <si>
    <t>CISCO SYSTEMS INC COMMON STOCK USD 0.001</t>
  </si>
  <si>
    <t>CITIGROUP INC COMMON STOCK USD 0.01</t>
  </si>
  <si>
    <t>CITIZENS FINANCIAL GROUP INC COMMON STOCK USD 0.01</t>
  </si>
  <si>
    <t>BQRX1X3</t>
  </si>
  <si>
    <t>CK ASSET HOLDINGS LTD COMMON STOCK HKD 1</t>
  </si>
  <si>
    <t>BYZQ077</t>
  </si>
  <si>
    <t>CLEANAWAY WASTE MANAGEMENT LTD COMMON STOCK AUD 0</t>
  </si>
  <si>
    <t>BYQ8KW7</t>
  </si>
  <si>
    <t>CLOROX CO/THE COMMON STOCK USD 1</t>
  </si>
  <si>
    <t>CLOUDFLARE INC COMMON STOCK USD 0.001</t>
  </si>
  <si>
    <t>BJXC5M2</t>
  </si>
  <si>
    <t>CME GROUP INC COMMON STOCK USD 0.01</t>
  </si>
  <si>
    <t>CMOC GROUP LTD COMMON STOCK CNY 0.2</t>
  </si>
  <si>
    <t>BP3R574</t>
  </si>
  <si>
    <t>COCA-COLA CO/THE COMMON STOCK USD 0.25</t>
  </si>
  <si>
    <t>COCA-COLA EUROPACIFIC PARTNERS PLC COMMON STOCK</t>
  </si>
  <si>
    <t>BYQQ3P5</t>
  </si>
  <si>
    <t>COCA-COLA FEMSA SAB DE CV UNIT MXN</t>
  </si>
  <si>
    <t>BHHP0S4</t>
  </si>
  <si>
    <t>COCA-COLA HBC AG GBP 6.7</t>
  </si>
  <si>
    <t>B9895B7</t>
  </si>
  <si>
    <t>COCHLEAR LTD COMMON STOCK AUD 0</t>
  </si>
  <si>
    <t>CODAN LTD COMMON STOCK AUD 0</t>
  </si>
  <si>
    <t>COLES GROUP LTD COMMON STOCK AUD</t>
  </si>
  <si>
    <t>BYWR0T5</t>
  </si>
  <si>
    <t>COLGATE-PALMOLIVE CO COMMON STOCK USD 1</t>
  </si>
  <si>
    <t>COLGATE-PALMOLIVE INDIA LTD COMMON STOCK INR 1</t>
  </si>
  <si>
    <t>COLLINS FOODS LTD COMMON STOCK AUD 0</t>
  </si>
  <si>
    <t>B6QCFP1</t>
  </si>
  <si>
    <t>COMCAST CORP COMMON STOCK USD 0.01</t>
  </si>
  <si>
    <t>COMMERZBANK AG COMMON STOCK EUR 0</t>
  </si>
  <si>
    <t>B90LKT4</t>
  </si>
  <si>
    <t>COMMONWEALTH BANK OF AUSTRALIA COMMON STOCK AUD 0</t>
  </si>
  <si>
    <t>COMPASS GROUP PLC COMMON STOCK GBP 11.05</t>
  </si>
  <si>
    <t>BD6K457</t>
  </si>
  <si>
    <t>COMPUTERSHARE LTD COMMON STOCK AUD 0</t>
  </si>
  <si>
    <t>CONOCOPHILLIPS COMMON STOCK USD 0.01</t>
  </si>
  <si>
    <t>CONSOLIDATED EDISON INC COMMON STOCK USD 0.1</t>
  </si>
  <si>
    <t>CONTEMPORARY AMPEREX TECHNOLOGY CO LTD COMMON</t>
  </si>
  <si>
    <t>BHQPSY7</t>
  </si>
  <si>
    <t>COOPER COS INC/THE COMMON STOCK USD 0.1</t>
  </si>
  <si>
    <t>BQPDXR3</t>
  </si>
  <si>
    <t>COREBRIDGE FINANCIAL INC</t>
  </si>
  <si>
    <t>BMTX0G9</t>
  </si>
  <si>
    <t>CORTEVA INC COMMON STOCK USD 0.01</t>
  </si>
  <si>
    <t>BK73B42</t>
  </si>
  <si>
    <t>COSTCO WHOLESALE CORP COMMON STOCK USD 0.005</t>
  </si>
  <si>
    <t>COUPANG INC COMMON STOCK USD 0.0001</t>
  </si>
  <si>
    <t>BNYHDF3</t>
  </si>
  <si>
    <t>COWAY CO LTD COMMON STOCK KRW 500</t>
  </si>
  <si>
    <t>CPFL ENERGIA SA COMMON STOCK BRL 0</t>
  </si>
  <si>
    <t>B031NN3</t>
  </si>
  <si>
    <t>CREDICORP LTD COMMON STOCK USD 5</t>
  </si>
  <si>
    <t>CREDIT CORP GROUP LTD COMMON STOCK AUD 0</t>
  </si>
  <si>
    <t>CSL LTD COMMON STOCK AUD 0</t>
  </si>
  <si>
    <t>3F0908S</t>
  </si>
  <si>
    <t>CTBC FINANCIAL HOLDING CO LTD COMMON STOCK TWD 10</t>
  </si>
  <si>
    <t>CUMMINS INC COMMON STOCK USD 2.5</t>
  </si>
  <si>
    <t>DAI NIPPON PRINTING CO LTD COMMON STOCK JPY</t>
  </si>
  <si>
    <t>DAIMLER TRUCK HOLDING AG COMMON STOCK EUR 0</t>
  </si>
  <si>
    <t>BP6VLQ4</t>
  </si>
  <si>
    <t>DAITO TRUST CONSTRUCTION CO LTD COMMON STOCK JPY</t>
  </si>
  <si>
    <t>DAIWA HOUSE INDUSTRY CO LTD COMMON STOCK JPY</t>
  </si>
  <si>
    <t>DANAHER CORP COMMON STOCK USD 0.01</t>
  </si>
  <si>
    <t>DANONE SA COMMON STOCK EUR 0.25</t>
  </si>
  <si>
    <t>B1Y9TB3</t>
  </si>
  <si>
    <t>DANSKE BANK A/S COMMON STOCK DKK 10</t>
  </si>
  <si>
    <t>DATA#3 LTD COMMON STOCK AUD 0</t>
  </si>
  <si>
    <t>DATADOG INC COMMON STOCK USD 0.00001</t>
  </si>
  <si>
    <t>BKT9Y49</t>
  </si>
  <si>
    <t>DAVITA INC COMMON STOCK USD 0.001</t>
  </si>
  <si>
    <t>DB INSURANCE CO LTD COMMON STOCK KRW 500</t>
  </si>
  <si>
    <t>DBS GROUP HOLDINGS LTD COMMON STOCK SGD 0</t>
  </si>
  <si>
    <t>DECKERS OUTDOOR CORP COMMON STOCK USD 0.01</t>
  </si>
  <si>
    <t>DELL TECHNOLOGIES INC COMMON STOCK USD</t>
  </si>
  <si>
    <t>BHKD3S6</t>
  </si>
  <si>
    <t>DELTA AIR LINES INC COMMON STOCK USD 0.0001</t>
  </si>
  <si>
    <t>B1W9D46</t>
  </si>
  <si>
    <t>DELTA ELECTRONICS INC COMMON STOCK TWD 10</t>
  </si>
  <si>
    <t>DEMANT A/S COMMON STOCK DKK 0.2</t>
  </si>
  <si>
    <t>BZ01RF1</t>
  </si>
  <si>
    <t>DETERRA ROYALTIES LTD COMMON STOCK AUD</t>
  </si>
  <si>
    <t>BJP5T05</t>
  </si>
  <si>
    <t>DEUTSCHE BANK AG COMMON STOCK EUR 0</t>
  </si>
  <si>
    <t>DEUTSCHE POST AG COMMON STOCK EUR 0</t>
  </si>
  <si>
    <t>DEUTSCHE TELEKOM AG COMMON STOCK EUR 0</t>
  </si>
  <si>
    <t>DEXCOM INC COMMON STOCK USD 0.001</t>
  </si>
  <si>
    <t>B0796X4</t>
  </si>
  <si>
    <t>DICKER DATA LTD COMMON STOCK AUD 0</t>
  </si>
  <si>
    <t>B3YPKQ7</t>
  </si>
  <si>
    <t>DICK'S SPORTING GOODS INC COMMON STOCK USD 0.01</t>
  </si>
  <si>
    <t>DINO POLSKA SA COMMON STOCK PLN 0.1</t>
  </si>
  <si>
    <t>BD0YVN2</t>
  </si>
  <si>
    <t>DOCUSIGN INC COMMON STOCK USD 0.0001</t>
  </si>
  <si>
    <t>BFYT7B7</t>
  </si>
  <si>
    <t>DOMAIN HOLDINGS AUSTRALIA LTD COMMON STOCK AUD</t>
  </si>
  <si>
    <t>BF17Y13</t>
  </si>
  <si>
    <t>DOMINO'S PIZZA ENTERPRISES LTD COMMON STOCK AUD 0</t>
  </si>
  <si>
    <t>B07SFG7</t>
  </si>
  <si>
    <t>DOMINO'S PIZZA INC COMMON STOCK USD 0.01</t>
  </si>
  <si>
    <t>B01SD70</t>
  </si>
  <si>
    <t>DOORDASH INC COMMON STOCK USD 0.00001</t>
  </si>
  <si>
    <t>BN13P03</t>
  </si>
  <si>
    <t>DOWNER EDI LTD COMMON STOCK AUD 0</t>
  </si>
  <si>
    <t>DSV A/S COMMON STOCK DKK 1</t>
  </si>
  <si>
    <t>B1WT5G2</t>
  </si>
  <si>
    <t>DURATEC LTD COMMON STOCK AUD</t>
  </si>
  <si>
    <t>BKS9J23</t>
  </si>
  <si>
    <t>E.ON SE COMMON STOCK EUR 0</t>
  </si>
  <si>
    <t>EATON CORP PLC COMMON STOCK USD 0.01</t>
  </si>
  <si>
    <t>B8KQN82</t>
  </si>
  <si>
    <t>EBAY INC COMMON STOCK USD 0.001</t>
  </si>
  <si>
    <t>EBOS GROUP LTD COMMON STOCK NZD 0</t>
  </si>
  <si>
    <t>6F7113S</t>
  </si>
  <si>
    <t>ECOLAB INC COMMON STOCK USD 1</t>
  </si>
  <si>
    <t>EDISON INTERNATIONAL COMMON STOCK USD 0</t>
  </si>
  <si>
    <t>EIFFAGE SA COMMON STOCK EUR 4</t>
  </si>
  <si>
    <t>B13X013</t>
  </si>
  <si>
    <t>ELDERS LTD COMMON STOCK AUD 0</t>
  </si>
  <si>
    <t>ELECTRO OPTIC SYSTEMS HOLDINGS LTD COMMON STOCK</t>
  </si>
  <si>
    <t>ELECTRONIC ARTS INC COMMON STOCK USD 0.01</t>
  </si>
  <si>
    <t>ELEMENT FLEET MANAGEMENT CORP COMMON STOCK CAD</t>
  </si>
  <si>
    <t>B7FNMQ2</t>
  </si>
  <si>
    <t>ELEVANCE HEALTH INC COMMON STOCK USD 0.01</t>
  </si>
  <si>
    <t>BSPHGL4</t>
  </si>
  <si>
    <t>ELF BEAUTY INC COMMON STOCK USD 0.01</t>
  </si>
  <si>
    <t>BDDQ975</t>
  </si>
  <si>
    <t>ELI LILLY &amp; CO COMMON STOCK USD 0</t>
  </si>
  <si>
    <t>EMAAR PROPERTIES PJSC COMMON STOCK AED 1</t>
  </si>
  <si>
    <t>B01RM25</t>
  </si>
  <si>
    <t>EMECO HOLDINGS LTD COMMON STOCK AUD 0</t>
  </si>
  <si>
    <t>B1978V5</t>
  </si>
  <si>
    <t>EMERALD RESOURCES NL COMMON STOCK AUD 0</t>
  </si>
  <si>
    <t>EMERSON ELECTRIC CO COMMON STOCK USD 0.5</t>
  </si>
  <si>
    <t>EMIRATES NBD BANK PJSC COMMON STOCK AED 1</t>
  </si>
  <si>
    <t>B28PFX8</t>
  </si>
  <si>
    <t>EML PAYMENTS LTD COMMON STOCK AUD 0</t>
  </si>
  <si>
    <t>B7ZGK34</t>
  </si>
  <si>
    <t>EMPIRE CO LTD COMMON STOCK CAD 0</t>
  </si>
  <si>
    <t>ENDEAVOUR GROUP LTD/AUSTRALIA COMMON STOCK AUD</t>
  </si>
  <si>
    <t>BNVS144</t>
  </si>
  <si>
    <t>ENEOS HOLDINGS INC COMMON STOCK JPY</t>
  </si>
  <si>
    <t>B627LW9</t>
  </si>
  <si>
    <t>ENGIE SA COMMON STOCK EUR 1</t>
  </si>
  <si>
    <t>B0C2CQ3</t>
  </si>
  <si>
    <t>ENN ENERGY HOLDINGS LTD COMMON STOCK HKD 0.1</t>
  </si>
  <si>
    <t>ENPHASE ENERGY INC COMMON STOCK USD 0.00001</t>
  </si>
  <si>
    <t>B65SQW4</t>
  </si>
  <si>
    <t>EOG RESOURCES INC COMMON STOCK USD 0.01</t>
  </si>
  <si>
    <t>EQT HOLDINGS LTD COMMON STOCK AUD 0</t>
  </si>
  <si>
    <t>BD5WNY6</t>
  </si>
  <si>
    <t>EQUINOR ASA COMMON STOCK NOK 2.5</t>
  </si>
  <si>
    <t>EQUITABLE HOLDINGS INC COMMON STOCK USD 0.01</t>
  </si>
  <si>
    <t>BKRMR96</t>
  </si>
  <si>
    <t>ERSTE GROUP BANK AG COMMON STOCK EUR 0</t>
  </si>
  <si>
    <t>ESSILORLUXOTTICA SA COMMON STOCK EUR 0.18</t>
  </si>
  <si>
    <t>ESSITY AB COMMON STOCK SEK 3.35</t>
  </si>
  <si>
    <t>BF1K7P7</t>
  </si>
  <si>
    <t>ETIHAD ETISALAT CO COMMON STOCK SAR 10</t>
  </si>
  <si>
    <t>B12LR51</t>
  </si>
  <si>
    <t>EUROBANK ERGASIAS SERVICES AND HOLDINGS SA COMMON</t>
  </si>
  <si>
    <t>BYZ43T4</t>
  </si>
  <si>
    <t>EVERSOURCE ENERGY COMMON STOCK USD 5</t>
  </si>
  <si>
    <t>BVVN4Q8</t>
  </si>
  <si>
    <t>EVOLUTION MINING LTD COMMON STOCK AUD 0</t>
  </si>
  <si>
    <t>B3X0F91</t>
  </si>
  <si>
    <t>EXELON CORP COMMON STOCK USD 0</t>
  </si>
  <si>
    <t>EXPEDIA GROUP INC COMMON STOCK USD 0.001</t>
  </si>
  <si>
    <t>B748CK2</t>
  </si>
  <si>
    <t>EXXON MOBIL</t>
  </si>
  <si>
    <t>F5 INC COMMON STOCK USD 0</t>
  </si>
  <si>
    <t>FIDELITY NATIONAL INFORMATION SERVICES INC COMMON</t>
  </si>
  <si>
    <t>FINEOS CORP LTD CDI AUD</t>
  </si>
  <si>
    <t>BK5XVJ9</t>
  </si>
  <si>
    <t>FISERV INC COMMON STOCK USD 0.01</t>
  </si>
  <si>
    <t>FISHER &amp; PAYKEL HEALTHCARE CORP LTD COMMON STOCK</t>
  </si>
  <si>
    <t>3F0952S</t>
  </si>
  <si>
    <t>FLEETPARTNERS GROUP LTD</t>
  </si>
  <si>
    <t>BN7HDZ0</t>
  </si>
  <si>
    <t>FLIGHT CENTRE TRAVEL GROUP LTD COMMON STOCK AUD 0</t>
  </si>
  <si>
    <t>FLUTTER ENTERTAINMENT PLC COMMON STOCK GBP 0.09</t>
  </si>
  <si>
    <t>BWZMZF4</t>
  </si>
  <si>
    <t>FORD OTOMOTIV SANAYI AS COMMON STOCK TRY 1</t>
  </si>
  <si>
    <t>B03MSR5</t>
  </si>
  <si>
    <t>FORTESCUE LTD COMMON STOCK AUD 0</t>
  </si>
  <si>
    <t>FORTINET INC COMMON STOCK USD 0.001</t>
  </si>
  <si>
    <t>B5B2106</t>
  </si>
  <si>
    <t>FORTUM OYJ COMMON STOCK EUR 3.4</t>
  </si>
  <si>
    <t>FOSHAN HAITIAN FLAVOURING &amp; FOOD CO LTD COMMON</t>
  </si>
  <si>
    <t>BTFRHX0</t>
  </si>
  <si>
    <t>FOX CORP COMMON STOCK USD 0.01</t>
  </si>
  <si>
    <t>BJJMGL2</t>
  </si>
  <si>
    <t>BJJMGY5</t>
  </si>
  <si>
    <t>FPT CORP COMMON STOCK VND 10000</t>
  </si>
  <si>
    <t>B1HMWH6</t>
  </si>
  <si>
    <t>FUJI ELECTRIC CO LTD COMMON STOCK JPY</t>
  </si>
  <si>
    <t>FULL TRUCK ALLIANCE CO LTD ADR USD</t>
  </si>
  <si>
    <t>BMD2L36</t>
  </si>
  <si>
    <t>G8 EDUCATION LTD COMMON STOCK AUD 0</t>
  </si>
  <si>
    <t>B296314</t>
  </si>
  <si>
    <t>GAIL INDIA LTD COMMON STOCK INR 10</t>
  </si>
  <si>
    <t>GALP ENERGIA SGPS SA COMMON STOCK EUR 1</t>
  </si>
  <si>
    <t>B1FW751</t>
  </si>
  <si>
    <t>GARMIN LTD COMMON STOCK USD 0.1</t>
  </si>
  <si>
    <t>B3Z5T14</t>
  </si>
  <si>
    <t>GARTNER INC COMMON STOCK USD 0.0005</t>
  </si>
  <si>
    <t>GE AEROSPACE</t>
  </si>
  <si>
    <t>BL59CR9</t>
  </si>
  <si>
    <t>GE HEALTHCARE TECHNOLOGIES INC COMMON STOCK USD</t>
  </si>
  <si>
    <t>BL6JPG8</t>
  </si>
  <si>
    <t>GEA GROUP AG COMMON STOCK EUR 0</t>
  </si>
  <si>
    <t>GEELY AUTOMOBILE HOLDINGS LTD COMMON STOCK HKD</t>
  </si>
  <si>
    <t>GEN DIGITAL INC COMMON STOCK USD 0.01</t>
  </si>
  <si>
    <t>BJN4XN5</t>
  </si>
  <si>
    <t>GENERAL MOTORS CO COMMON STOCK USD 0.01</t>
  </si>
  <si>
    <t>B665KZ5</t>
  </si>
  <si>
    <t>GENERATION IM CLIMATE SOLUTIONS FUND LP USD</t>
  </si>
  <si>
    <t>W531FB3</t>
  </si>
  <si>
    <t>GILDAN ACTIVEWEAR INC COMMON STOCK CAD 0</t>
  </si>
  <si>
    <t>GILEAD SCIENCES INC COMMON STOCK USD 0.001</t>
  </si>
  <si>
    <t>GIVAUDAN SA COMMON STOCK CHF 10</t>
  </si>
  <si>
    <t>GLENCORE PLC COMMON STOCK GBP 0.01</t>
  </si>
  <si>
    <t>B4T3BW6</t>
  </si>
  <si>
    <t>GLOBANT SA COMMON STOCK USD 1.2</t>
  </si>
  <si>
    <t>BP40HF4</t>
  </si>
  <si>
    <t>GODADDY INC COMMON STOCK USD 0.001</t>
  </si>
  <si>
    <t>BWFRFC6</t>
  </si>
  <si>
    <t>GOLD ROAD RESOURCES LTD COMMON STOCK AUD 0</t>
  </si>
  <si>
    <t>B15F5K1</t>
  </si>
  <si>
    <t>GOLDMAN SACHS GROUP INC/THE COMMON STOCK USD 0.01</t>
  </si>
  <si>
    <t>GQG PARTNERS INC CDI AUD</t>
  </si>
  <si>
    <t>BN469H4</t>
  </si>
  <si>
    <t>GR ENGINEERING SERVICES LTD COMMON STOCK AUD 0</t>
  </si>
  <si>
    <t>B62LMX9</t>
  </si>
  <si>
    <t>GRAB HOLDINGS LTD COMMON STOCK USD 0.000001</t>
  </si>
  <si>
    <t>BP6NH40</t>
  </si>
  <si>
    <t>GRANGE RESOURCES LTD COMMON STOCK AUD 0</t>
  </si>
  <si>
    <t>GREAT-WEST LIFECO INC COMMON STOCK CAD 0</t>
  </si>
  <si>
    <t>GRUPO FINANCIERO BANORTE SAB DE CV COMMON STOCK</t>
  </si>
  <si>
    <t>GSK PLC COMMON STOCK GBP 31.25</t>
  </si>
  <si>
    <t>BN7SWP6</t>
  </si>
  <si>
    <t>GWA GROUP LTD COMMON STOCK AUD 0</t>
  </si>
  <si>
    <t>H WORLD GROUP LTD ADR USD</t>
  </si>
  <si>
    <t>BFMFKK7</t>
  </si>
  <si>
    <t>HAIDILAO INTERNATIONAL HOLDING LTD COMMON STOCK</t>
  </si>
  <si>
    <t>BGN9715</t>
  </si>
  <si>
    <t>HAIER SMART HOME CO LTD COMMON STOCK CNY 1</t>
  </si>
  <si>
    <t>BP3R3G9</t>
  </si>
  <si>
    <t>HAIER SMART HOME CO LTD COMMON STOCK HKD 1</t>
  </si>
  <si>
    <t>BLD4QD0</t>
  </si>
  <si>
    <t>HALLIBURTON CO COMMON STOCK USD 2.5</t>
  </si>
  <si>
    <t>HANA FINANCIAL GROUP INC COMMON STOCK KRW 5000</t>
  </si>
  <si>
    <t>B0RNRF5</t>
  </si>
  <si>
    <t>HANGZHOU TIGERMED CONSULTING CO LTD COMMON STOCK</t>
  </si>
  <si>
    <t>BMZC7F8</t>
  </si>
  <si>
    <t>HANKOOK TIRE &amp; TECHNOLOGY CO LTD COMMON STOCK KRW</t>
  </si>
  <si>
    <t>B7T5KQ0</t>
  </si>
  <si>
    <t>HANSEN TECHNOLOGIES LTD COMMON STOCK AUD 0</t>
  </si>
  <si>
    <t>HANSOH PHARMACEUTICAL GROUP CO LTD COMMON STOCK</t>
  </si>
  <si>
    <t>BJYKB72</t>
  </si>
  <si>
    <t>HANWHA AEROSPACE CO LTD COMMON STOCK KRW 5000</t>
  </si>
  <si>
    <t>HARTFORD FINANCIAL SERVICES GROUP INC/THE COMMON</t>
  </si>
  <si>
    <t>HCA HEALTHCARE INC COMMON STOCK USD 0.01</t>
  </si>
  <si>
    <t>B4MGBG6</t>
  </si>
  <si>
    <t>HCL TECHNOLOGIES LTD COMMON STOCK INR 2</t>
  </si>
  <si>
    <t>HD HYUNDAI CO LTD COMMON STOCK KRW 1000</t>
  </si>
  <si>
    <t>BD4HFT1</t>
  </si>
  <si>
    <t>HDFC ASSET MANAGEMENT CO LTD COMMON STOCK INR 5</t>
  </si>
  <si>
    <t>BG0R3M5</t>
  </si>
  <si>
    <t>HDFC BANK LTD COMMON STOCK INR 1</t>
  </si>
  <si>
    <t>BK1N461</t>
  </si>
  <si>
    <t>HDFC LIFE INSURANCE CO LTD COMMON STOCK INR 10</t>
  </si>
  <si>
    <t>BF0TRG6</t>
  </si>
  <si>
    <t>HEALIUS LTD COMMON STOCK AUD 0</t>
  </si>
  <si>
    <t>BFZYRL1</t>
  </si>
  <si>
    <t>HEINEKEN NV COMMON STOCK EUR 1.6</t>
  </si>
  <si>
    <t>HELIA GROUP LTD COMMON STOCK AUD</t>
  </si>
  <si>
    <t>BP5HL07</t>
  </si>
  <si>
    <t>HENKEL AG &amp; CO KGAA PREFERENCE EUR 0</t>
  </si>
  <si>
    <t>HERMES INTERNATIONAL SCA COMMON STOCK EUR 0</t>
  </si>
  <si>
    <t>HERO MOTOCORP LTD COMMON STOCK INR 2</t>
  </si>
  <si>
    <t>HEWLETT PACKARD ENTERPRISE CO COMMON STOCK USD</t>
  </si>
  <si>
    <t>BYVYWS0</t>
  </si>
  <si>
    <t>HIKARI TSUSHIN INC COMMON STOCK JPY</t>
  </si>
  <si>
    <t>HINDUSTAN AERONAUTICS LTD COMMON STOCK INR 5</t>
  </si>
  <si>
    <t>BR56KD4</t>
  </si>
  <si>
    <t>HINDUSTAN PETROLEUM CORP LTD COMMON STOCK INR 10</t>
  </si>
  <si>
    <t>HITACHI LTD COMMON STOCK JPY</t>
  </si>
  <si>
    <t>HOME DEPOT INC/THE COMMON STOCK USD 0.05</t>
  </si>
  <si>
    <t>HON HAI PRECISION INDUSTRY CO LTD COMMON STOCK TWD</t>
  </si>
  <si>
    <t>HONDA MOTOR CO LTD COMMON STOCK JPY</t>
  </si>
  <si>
    <t>HONEYWELL INTERNATIONAL INC COMMON STOCK USD 1</t>
  </si>
  <si>
    <t>HORIZON ROBOTICS INC COMMON STOCK HKD 0.0000025</t>
  </si>
  <si>
    <t>BS5YNY7</t>
  </si>
  <si>
    <t>HSBC HOLDINGS PLC COMMON STOCK GBP 0.5</t>
  </si>
  <si>
    <t>HUB24 LTD COMMON STOCK AUD 0</t>
  </si>
  <si>
    <t>BD4T5X1</t>
  </si>
  <si>
    <t>HUMANA INC COMMON STOCK USD 0.1666666</t>
  </si>
  <si>
    <t>HUMM GROUP LTD COMMON STOCK AUD 0</t>
  </si>
  <si>
    <t>BN4KQK8</t>
  </si>
  <si>
    <t>HUNTINGTON BANCSHARES INC/OH COMMON STOCK USD 0.01</t>
  </si>
  <si>
    <t>HYDRO ONE LTD COMMON STOCK CAD</t>
  </si>
  <si>
    <t>BYYXJY9</t>
  </si>
  <si>
    <t>HYUNDAI MOBIS CO LTD COMMON STOCK KRW 5000</t>
  </si>
  <si>
    <t>IBERDROLA SA COMMON STOCK EUR 0.75</t>
  </si>
  <si>
    <t>B288C92</t>
  </si>
  <si>
    <t>ICICI BANK LTD COMMON STOCK INR 2</t>
  </si>
  <si>
    <t>BSZ2BY7</t>
  </si>
  <si>
    <t>IDEMITSU KOSAN CO LTD COMMON STOCK JPY</t>
  </si>
  <si>
    <t>B1FF8P7</t>
  </si>
  <si>
    <t>IDP EDUCATION LTD COMMON STOCK AUD</t>
  </si>
  <si>
    <t>BDB6DD1</t>
  </si>
  <si>
    <t>IGM FINANCIAL INC COMMON STOCK CAD 0</t>
  </si>
  <si>
    <t>IGO LTD COMMON STOCK AUD 0</t>
  </si>
  <si>
    <t>ILLUMINA INC COMMON STOCK USD 0.01</t>
  </si>
  <si>
    <t>ILUKA RESOURCES LTD COMMON STOCK AUD 0</t>
  </si>
  <si>
    <t>IMDEX LTD COMMON STOCK AUD 0</t>
  </si>
  <si>
    <t>INCYTE CORP COMMON STOCK USD 0.001</t>
  </si>
  <si>
    <t>INDIAN OIL CORP LTD COMMON STOCK INR 10</t>
  </si>
  <si>
    <t>INFOMEDIA LTD COMMON STOCK AUD 0</t>
  </si>
  <si>
    <t>INFOSYS LTD COMMON STOCK INR 5</t>
  </si>
  <si>
    <t>ING GROEP NV COMMON STOCK EUR 0.01</t>
  </si>
  <si>
    <t>BZ57390</t>
  </si>
  <si>
    <t>INGHAMS GROUP LTD COMMON STOCK AUD</t>
  </si>
  <si>
    <t>BZCNHW2</t>
  </si>
  <si>
    <t>INSIGNIA FINANCIAL LTD COMMON STOCK AUD 0</t>
  </si>
  <si>
    <t>INSULET CORP COMMON STOCK USD 0.001</t>
  </si>
  <si>
    <t>B1XGNW4</t>
  </si>
  <si>
    <t>INSURANCE AUSTRALIA GROUP LTD COMMON STOCK AUD 0</t>
  </si>
  <si>
    <t>INTEGRAL DIAGNOSTICS LTD COMMON STOCK AUD</t>
  </si>
  <si>
    <t>BYV2ZK7</t>
  </si>
  <si>
    <t>INTERCONEXION ELECTRICA SA ESP COMMON STOCK COP</t>
  </si>
  <si>
    <t>INTERNATIONAL BUSINESS MACHINES CORPORATION</t>
  </si>
  <si>
    <t>INTERNATIONAL CONTAINER TERMINAL SERVICES INC</t>
  </si>
  <si>
    <t>INTERNATIONAL FLAVORS &amp; FRAGRANCES INC COMMON</t>
  </si>
  <si>
    <t>INTESA SANPAOLO SPA COMMON STOCK EUR 0</t>
  </si>
  <si>
    <t>INTUIT INC COMMON STOCK USD 0.01</t>
  </si>
  <si>
    <t>INTUITIVE SURGICAL INC COMMON STOCK USD 0.001</t>
  </si>
  <si>
    <t>INVESTOR AB COMMON STOCK SEK 6.25</t>
  </si>
  <si>
    <t>BMV7PQ4</t>
  </si>
  <si>
    <t>IPH LTD COMMON STOCK AUD</t>
  </si>
  <si>
    <t>BS7K5S1</t>
  </si>
  <si>
    <t>IPSEN SA COMMON STOCK EUR 1</t>
  </si>
  <si>
    <t>B0R7JF1</t>
  </si>
  <si>
    <t>IQVIA HOLDINGS INC COMMON STOCK USD 0.01</t>
  </si>
  <si>
    <t>BDR73G1</t>
  </si>
  <si>
    <t>IRESS LTD COMMON STOCK AUD 0</t>
  </si>
  <si>
    <t>ITAU UNIBANCO HOLDING SA PREFERENCE BRL 0</t>
  </si>
  <si>
    <t>B037HR3</t>
  </si>
  <si>
    <t>ITOCHU CORP COMMON STOCK JPY</t>
  </si>
  <si>
    <t>IVE GROUP LTD COMMON STOCK AUD</t>
  </si>
  <si>
    <t>BD08J52</t>
  </si>
  <si>
    <t>JAMES HARDIE INDUSTRIES PLC CDI AUD 0.59</t>
  </si>
  <si>
    <t>2F5236S</t>
  </si>
  <si>
    <t>JB HI-FI LTD COMMON STOCK AUD 0</t>
  </si>
  <si>
    <t>JBS S/A COMMON STOCK BRL 0</t>
  </si>
  <si>
    <t>B1V74X7</t>
  </si>
  <si>
    <t>JD LOGISTICS INC COMMON STOCK HKD 0.000025</t>
  </si>
  <si>
    <t>BNMBPD9</t>
  </si>
  <si>
    <t>JD.COM INC - CL A</t>
  </si>
  <si>
    <t>BKPQZT6</t>
  </si>
  <si>
    <t>JOBY AVIATION INC COMMON STOCK USD 0.0001</t>
  </si>
  <si>
    <t>BMCRLL0</t>
  </si>
  <si>
    <t>JOHNSON &amp; JOHNSON COMMON STOCK USD 1</t>
  </si>
  <si>
    <t>JPMORGAN CHASE &amp; CO COMMON STOCK USD 1</t>
  </si>
  <si>
    <t>JSC KASPI.KZ GDR-REG S</t>
  </si>
  <si>
    <t>BJY21K1</t>
  </si>
  <si>
    <t>JUDO CAPITAL HOLDINGS LTD COMMON STOCK AUD</t>
  </si>
  <si>
    <t>BMW7F41</t>
  </si>
  <si>
    <t>JUMBO INTERACTIVE LTD COMMON STOCK AUD 0</t>
  </si>
  <si>
    <t>KANZHUN LTD ADR USD 0.0001</t>
  </si>
  <si>
    <t>BM91SH0</t>
  </si>
  <si>
    <t>KAROON ENERGY LTD COMMON STOCK AUD 0</t>
  </si>
  <si>
    <t>B00SV00</t>
  </si>
  <si>
    <t>KASIKORNBANK PCL FOREIGN SH. THB 10</t>
  </si>
  <si>
    <t>KB FINANCIAL GROUP INC COMMON STOCK KRW 5000</t>
  </si>
  <si>
    <t>B3DF0Y6</t>
  </si>
  <si>
    <t>KBC GROUP NV COMMON STOCK EUR 0</t>
  </si>
  <si>
    <t>KEURIG DR PEPPER INC COMMON STOCK USD 0.01</t>
  </si>
  <si>
    <t>BD3W133</t>
  </si>
  <si>
    <t>KEYSIGHT TECHNOLOGIES INC COMMON STOCK USD 0.01</t>
  </si>
  <si>
    <t>BQZJ0Q9</t>
  </si>
  <si>
    <t>KIA CORP COMMON STOCK KRW 5000</t>
  </si>
  <si>
    <t>KINA SECURITIES LTD COMMON STOCK AUD</t>
  </si>
  <si>
    <t>BYWSCK3</t>
  </si>
  <si>
    <t>KINGFISHER PLC COMMON STOCK GBP 15.7143</t>
  </si>
  <si>
    <t>KINGSOFT CORP LTD COMMON STOCK HKD 0.0005</t>
  </si>
  <si>
    <t>B27WRM3</t>
  </si>
  <si>
    <t>KINROSS GOLD CORP COMMON STOCK CAD 0</t>
  </si>
  <si>
    <t>B03Z841</t>
  </si>
  <si>
    <t>KLA CORP COMMON STOCK USD 0.001</t>
  </si>
  <si>
    <t>KMD BRANDS LTD COMMON STOCK NZD</t>
  </si>
  <si>
    <t>6F7071S</t>
  </si>
  <si>
    <t>KOGAN.COM LTD COMMON STOCK AUD</t>
  </si>
  <si>
    <t>BYYY339</t>
  </si>
  <si>
    <t>KOMATSU LTD COMMON STOCK JPY</t>
  </si>
  <si>
    <t>KONINKLIJKE KPN NV COMMON STOCK EUR 0.04</t>
  </si>
  <si>
    <t>KONINKLIJKE PHILIPS NV COMMON STOCK EUR 0.2</t>
  </si>
  <si>
    <t>KOREA INVESTMENT HOLDINGS CO LTD COMMON STOCK KRW</t>
  </si>
  <si>
    <t>KRAFT HEINZ CO/THE COMMON STOCK USD 0.01</t>
  </si>
  <si>
    <t>BYRY499</t>
  </si>
  <si>
    <t>KRAFTON INC COMMON STOCK KRW 100</t>
  </si>
  <si>
    <t>BMBP900</t>
  </si>
  <si>
    <t>KROGER CO/THE COMMON STOCK USD 1</t>
  </si>
  <si>
    <t>KUAISHOU TECHNOLOGY COMMON STOCK HKD 0.0000053</t>
  </si>
  <si>
    <t>BLC90T0</t>
  </si>
  <si>
    <t>KUMBA IRON ORE LTD COMMON STOCK ZAR 0.01</t>
  </si>
  <si>
    <t>B1G4262</t>
  </si>
  <si>
    <t>KUNLUN ENERGY CO LTD COMMON STOCK HKD 0.01</t>
  </si>
  <si>
    <t>KWEICHOW MOUTAI CO LTD COMMON STOCK CNY 1</t>
  </si>
  <si>
    <t>BP3R2F1</t>
  </si>
  <si>
    <t>LA FRANCAISE DES JEUX SACA COMMON STOCK EUR</t>
  </si>
  <si>
    <t>BG0SC10</t>
  </si>
  <si>
    <t>LAM RESEARCH CORP COMMON STOCK USD 0.001</t>
  </si>
  <si>
    <t>BSML4N7</t>
  </si>
  <si>
    <t>LAS VEGAS SANDS CORP COMMON STOCK USD 0.001</t>
  </si>
  <si>
    <t>B02T2J7</t>
  </si>
  <si>
    <t>LEG IMMOBILIEN SE COMMON STOCK EUR</t>
  </si>
  <si>
    <t>B9G6L89</t>
  </si>
  <si>
    <t>LEGRAND SA COMMON STOCK EUR 4</t>
  </si>
  <si>
    <t>B11ZRK9</t>
  </si>
  <si>
    <t>LENNAR CORP COMMON STOCK USD 0.1</t>
  </si>
  <si>
    <t>LENOVO GROUP LTD COMMON STOCK HKD 0</t>
  </si>
  <si>
    <t>LEONARDO SPA COMMON STOCK EUR 4.4</t>
  </si>
  <si>
    <t>B0DJNG0</t>
  </si>
  <si>
    <t>LIFE360 INC CDI AUD</t>
  </si>
  <si>
    <t>BJMXQ67</t>
  </si>
  <si>
    <t>LIGHT &amp; WONDER INC CDI AUD</t>
  </si>
  <si>
    <t>BMXNX11</t>
  </si>
  <si>
    <t>LINDE PLC COMMON STOCK EUR 0.001</t>
  </si>
  <si>
    <t>BNZHB81</t>
  </si>
  <si>
    <t>LINDSAY AUSTRALIA LTD COMMON STOCK AUD 0</t>
  </si>
  <si>
    <t>LLOYDS BANKING GROUP PLC COMMON STOCK GBP 10</t>
  </si>
  <si>
    <t>LOBLAW COS LTD COMMON STOCK CAD 0</t>
  </si>
  <si>
    <t>LOCALIZA RENT A CAR SA COMMON STOCK BRL 0</t>
  </si>
  <si>
    <t>B08K3S0</t>
  </si>
  <si>
    <t>LONGFOR GROUP HOLDINGS LTD COMMON STOCK HKD 0.1</t>
  </si>
  <si>
    <t>B56KLY9</t>
  </si>
  <si>
    <t>L'OREAL SA COMMON STOCK EUR 0.2</t>
  </si>
  <si>
    <t>LOTTERY CORP LTD/THE COMMON STOCK AUD</t>
  </si>
  <si>
    <t>BNRQW72</t>
  </si>
  <si>
    <t>LOVISA HOLDINGS LTD COMMON STOCK AUD</t>
  </si>
  <si>
    <t>BT9PVP0</t>
  </si>
  <si>
    <t>LOWE'S COS INC COMMON STOCK USD 0.5</t>
  </si>
  <si>
    <t>LULULEMON ATHLETICA INC COMMON STOCK USD 0.005</t>
  </si>
  <si>
    <t>B23FN39</t>
  </si>
  <si>
    <t>LVMH MOET HENNESSY LOUIS VUITTON SE COMMON STOCK</t>
  </si>
  <si>
    <t>LYCOPODIUM LTD COMMON STOCK AUD 0</t>
  </si>
  <si>
    <t>B044438</t>
  </si>
  <si>
    <t>LYNAS RARE EARTHS LTD COMMON STOCK AUD 0</t>
  </si>
  <si>
    <t>MACMAHON HOLDINGS LTD COMMON STOCK AUD 0</t>
  </si>
  <si>
    <t>MACQUARIE GROUP LTD COMMON STOCK AUD 0</t>
  </si>
  <si>
    <t>B28YTC2</t>
  </si>
  <si>
    <t>MADER GROUP LTD COMMON STOCK AUD</t>
  </si>
  <si>
    <t>BHNG8Z4</t>
  </si>
  <si>
    <t>MAGELLAN FINANCIAL GROUP LTD COMMON STOCK AUD 0</t>
  </si>
  <si>
    <t>B015YX4</t>
  </si>
  <si>
    <t>MAHINDRA &amp; MAHINDRA LTD COMMON STOCK INR 5</t>
  </si>
  <si>
    <t>MALAYAN BANKING BHD COMMON STOCK MYR 0</t>
  </si>
  <si>
    <t>MANULIFE FINANCIAL CORP COMMON STOCK CAD 0</t>
  </si>
  <si>
    <t>MARATHON PETROLEUM CORP COMMON STOCK USD 0.01</t>
  </si>
  <si>
    <t>B3K3L40</t>
  </si>
  <si>
    <t>MARUBENI CORP COMMON STOCK JPY</t>
  </si>
  <si>
    <t>MARVELL TECHNOLOGY INC COMMON STOCK USD 0.002</t>
  </si>
  <si>
    <t>BNKJSM5</t>
  </si>
  <si>
    <t>MASCO CORP COMMON STOCK USD 1</t>
  </si>
  <si>
    <t>MASTERCARD INC COMMON STOCK USD 0.0001</t>
  </si>
  <si>
    <t>B121557</t>
  </si>
  <si>
    <t>MATCH GROUP INC COMMON STOCK USD 0.001</t>
  </si>
  <si>
    <t>BK80XH9</t>
  </si>
  <si>
    <t>MAYNE PHARMA GROUP LTD COMMON STOCK AUD 0</t>
  </si>
  <si>
    <t>B1BHXL8</t>
  </si>
  <si>
    <t>MCCORMICK &amp; CO INC/MD COMMON STOCK USD 0.01</t>
  </si>
  <si>
    <t>MCDONALD'S CORP COMMON STOCK USD 0.01</t>
  </si>
  <si>
    <t>MCKESSON CORP COMMON STOCK USD 0.01</t>
  </si>
  <si>
    <t>MCMILLAN SHAKESPEARE LTD COMMON STOCK AUD 0</t>
  </si>
  <si>
    <t>B00G1Q0</t>
  </si>
  <si>
    <t>MEDIATEK INC COMMON STOCK TWD 10</t>
  </si>
  <si>
    <t>MEDIBANK PVT LTD COMMON STOCK AUD</t>
  </si>
  <si>
    <t>BRTNNQ5</t>
  </si>
  <si>
    <t>MEDTRONIC PLC COMMON STOCK USD 0.1</t>
  </si>
  <si>
    <t>BTN1Y11</t>
  </si>
  <si>
    <t>MEITUAN COMMON STOCK HKD 0.00001</t>
  </si>
  <si>
    <t>BGJW376</t>
  </si>
  <si>
    <t>MERCADOLIBRE INC COMMON STOCK USD 0.001</t>
  </si>
  <si>
    <t>B23X1H3</t>
  </si>
  <si>
    <t>MERCK &amp; CO INC COMMON STOCK USD 0.5</t>
  </si>
  <si>
    <t>MERIDIAN ENERGY LTD COMMON STOCK NZD 0</t>
  </si>
  <si>
    <t>BWFD052</t>
  </si>
  <si>
    <t>MERITZ FINANCIAL GROUP INC COMMON STOCK KRW 500</t>
  </si>
  <si>
    <t>B4WRJD2</t>
  </si>
  <si>
    <t>MESOBLAST LTD COMMON STOCK AUD 0</t>
  </si>
  <si>
    <t>B04SF48</t>
  </si>
  <si>
    <t>META PLATFORMS INC COMMON STOCK USD 0.000006</t>
  </si>
  <si>
    <t>B7TL820</t>
  </si>
  <si>
    <t>METCASH LTD COMMON STOCK AUD 0</t>
  </si>
  <si>
    <t>B0744W4</t>
  </si>
  <si>
    <t>METROPOLITAN BANK &amp; TRUST CO COMMON STOCK PHP 20</t>
  </si>
  <si>
    <t>METTLER-TOLEDO INTERNATIONAL INC COMMON STOCK USD</t>
  </si>
  <si>
    <t>MICROSOFT CORP COMMON STOCK USD 0.00000625</t>
  </si>
  <si>
    <t>MIDEA GROUP CO LTD COMMON STOCK CNY 1</t>
  </si>
  <si>
    <t>BD5CPP1</t>
  </si>
  <si>
    <t>MINERAL RESOURCES LTD COMMON STOCK AUD 0</t>
  </si>
  <si>
    <t>B17ZL56</t>
  </si>
  <si>
    <t>MIRAE ASSET SECURITIES CO LTD COMMON STOCK KRW</t>
  </si>
  <si>
    <t>MITSUBISHI ELECTRIC CORP COMMON STOCK JPY</t>
  </si>
  <si>
    <t>MITSUBISHI ESTATE CO LTD COMMON STOCK JPY</t>
  </si>
  <si>
    <t>MITSUI &amp; CO LTD COMMON STOCK JPY</t>
  </si>
  <si>
    <t>MITSUI FUDOSAN CO LTD COMMON STOCK JPY</t>
  </si>
  <si>
    <t>MODERNA INC COMMON STOCK USD 0.0001</t>
  </si>
  <si>
    <t>BGSXTS3</t>
  </si>
  <si>
    <t>MONADELPHOUS GROUP LTD COMMON STOCK AUD 0</t>
  </si>
  <si>
    <t>MONASH IVF GROUP LTD COMMON STOCK AUD 0</t>
  </si>
  <si>
    <t>BMSK748</t>
  </si>
  <si>
    <t>MONCLER SPA COMMON STOCK EUR 0</t>
  </si>
  <si>
    <t>BGLP232</t>
  </si>
  <si>
    <t>MONDELEZ INTERNATIONAL INC COMMON STOCK USD 0</t>
  </si>
  <si>
    <t>B8CKK03</t>
  </si>
  <si>
    <t>MONETA MONEY BANK AS COMMON STOCK CZK 20</t>
  </si>
  <si>
    <t>BD3CQ16</t>
  </si>
  <si>
    <t>MORGAN STANLEY COMMON STOCK USD 0.01</t>
  </si>
  <si>
    <t>MOTOROLA SOLUTIONS INC COMMON STOCK USD 0.01</t>
  </si>
  <si>
    <t>B5BKPQ4</t>
  </si>
  <si>
    <t>MUENCHENER RUECKVERSICHERUNGS-GESELLSCHAFT AG IN</t>
  </si>
  <si>
    <t>MUTHOOT FINANCE LTD COMMON STOCK INR 10</t>
  </si>
  <si>
    <t>B40MFF3</t>
  </si>
  <si>
    <t>MYER HOLDINGS LTD COMMON STOCK AUD</t>
  </si>
  <si>
    <t>B50YPZ6</t>
  </si>
  <si>
    <t>MYSTATE LTD COMMON STOCK AUD</t>
  </si>
  <si>
    <t>B41XHK4</t>
  </si>
  <si>
    <t>NANOSONICS LTD COMMON STOCK AUD 0</t>
  </si>
  <si>
    <t>B1WF979</t>
  </si>
  <si>
    <t>NASPERS LTD COMMON STOCK ZAR 2</t>
  </si>
  <si>
    <t>BN0VX82</t>
  </si>
  <si>
    <t>NATIONAL AUSTRALIA BANK LTD COMMON STOCK AUD 0</t>
  </si>
  <si>
    <t>NATIONAL BANK OF CANADA COMMON STOCK</t>
  </si>
  <si>
    <t>NATWEST GROUP PLC COMMON STOCK GBP 107.69</t>
  </si>
  <si>
    <t>BM8PJY7</t>
  </si>
  <si>
    <t>NAVIGATOR GLOBAL INVESTMENTS LTD COMMON STOCK AUD</t>
  </si>
  <si>
    <t>4F4145S</t>
  </si>
  <si>
    <t>NEC CORP COMMON STOCK JPY</t>
  </si>
  <si>
    <t>NEDBANK GROUP LTD COMMON STOCK ZAR 100</t>
  </si>
  <si>
    <t>NESTLE SA COMMON STOCK CHF 0.1</t>
  </si>
  <si>
    <t>NETAPP INC COMMON STOCK USD 0.001</t>
  </si>
  <si>
    <t>NETEASE INC COMMON STOCK CNY 0.0001</t>
  </si>
  <si>
    <t>BM93SF4</t>
  </si>
  <si>
    <t>NETFLIX INC COMMON STOCK USD 0.001</t>
  </si>
  <si>
    <t>NETWEALTH GROUP LTD COMMON STOCK AUD</t>
  </si>
  <si>
    <t>BF52PL1</t>
  </si>
  <si>
    <t>NEUREN PHARMACEUTICALS LTD COMMON STOCK AUD 0</t>
  </si>
  <si>
    <t>B04LVF0</t>
  </si>
  <si>
    <t>NEWMONT CORP CDI AUD</t>
  </si>
  <si>
    <t>BRDVMB3</t>
  </si>
  <si>
    <t>NEWS CORP CDI AUD 0</t>
  </si>
  <si>
    <t>6F3815S</t>
  </si>
  <si>
    <t>NEXT PLC COMMON STOCK GBP 10</t>
  </si>
  <si>
    <t>NEXTDC LTD COMMON STOCK AUD 0</t>
  </si>
  <si>
    <t>B5LMKP4</t>
  </si>
  <si>
    <t>NEXTERA ENERGY INC COMMON STOCK USD 0.01</t>
  </si>
  <si>
    <t>NH INVESTMENT &amp; SECURITIES CO LTD COMMON STOCK KRW</t>
  </si>
  <si>
    <t>NIB HOLDINGS LTD/AUSTRALIA COMMON STOCK AUD 0</t>
  </si>
  <si>
    <t>B28ZM60</t>
  </si>
  <si>
    <t>NICE LTD COMMON STOCK ILS 1</t>
  </si>
  <si>
    <t>NICK SCALI LTD COMMON STOCK AUD 0</t>
  </si>
  <si>
    <t>B00VZV8</t>
  </si>
  <si>
    <t>NIKE INC COMMON STOCK USD 0</t>
  </si>
  <si>
    <t>NITTO DENKO CORP COMMON STOCK JPY</t>
  </si>
  <si>
    <t>NMDC LTD COMMON STOCK INR 1</t>
  </si>
  <si>
    <t>NN GROUP NV COMMON STOCK EUR 0.12</t>
  </si>
  <si>
    <t>BNG8PQ9</t>
  </si>
  <si>
    <t>NOKIA OYJ COMMON STOCK EUR 0</t>
  </si>
  <si>
    <t>NOMURA HOLDINGS INC COMMON STOCK JPY</t>
  </si>
  <si>
    <t>NORDEA BANK ABP COMMON STOCK EUR 1</t>
  </si>
  <si>
    <t>BFM0SV9</t>
  </si>
  <si>
    <t>NORTHERN STAR RESOURCES LTD COMMON STOCK AUD 0</t>
  </si>
  <si>
    <t>NORTHERN TRUST CORP COMMON STOCK USD 1.666666</t>
  </si>
  <si>
    <t>NORTHROP GRUMMAN CORP COMMON STOCK USD 1</t>
  </si>
  <si>
    <t>NOVARTIS AG COMMON STOCK CHF 0.49</t>
  </si>
  <si>
    <t>NOVATEK MICROELECTRONICS CORP COMMON STOCK TWD 10</t>
  </si>
  <si>
    <t>NOVO NORDISK A/S COMMON STOCK DKK 0.1</t>
  </si>
  <si>
    <t>BP6KMJ1</t>
  </si>
  <si>
    <t>NRW HOLDINGS LTD COMMON STOCK AUD 0</t>
  </si>
  <si>
    <t>B23XW70</t>
  </si>
  <si>
    <t>NU HOLDINGS LTD/CAYMAN ISLANDS COMMON STOCK USD</t>
  </si>
  <si>
    <t>BN6NP19</t>
  </si>
  <si>
    <t>NUFARM LTD COMMON STOCK AUD 0</t>
  </si>
  <si>
    <t>NUIX LTD COMMON STOCK AUD</t>
  </si>
  <si>
    <t>BMW7P63</t>
  </si>
  <si>
    <t>NVIDIA CORP COMMON STOCK USD 0.001</t>
  </si>
  <si>
    <t>NXP SEMICONDUCTORS NV COMMON STOCK USD 0.2</t>
  </si>
  <si>
    <t>B505PN7</t>
  </si>
  <si>
    <t>OBJECTIVE CORP LTD COMMON STOCK AUD 0</t>
  </si>
  <si>
    <t>OFX GROUP LTD COMMON STOCK AUD</t>
  </si>
  <si>
    <t>BFG1Q58</t>
  </si>
  <si>
    <t>OIL &amp; NATURAL GAS CORP LTD COMMON STOCK INR 5</t>
  </si>
  <si>
    <t>OLD MUTUAL LTD COMMON STOCK ZAR</t>
  </si>
  <si>
    <t>BDVPYN5</t>
  </si>
  <si>
    <t>OMNICOM GROUP INC COMMON STOCK USD 0.15</t>
  </si>
  <si>
    <t>OOH MEDIA LTD</t>
  </si>
  <si>
    <t>BSXN8D0</t>
  </si>
  <si>
    <t>OPAP SA COMMON STOCK EUR 0.3</t>
  </si>
  <si>
    <t>OPEN TEXT CORP COMMON STOCK EUR 0</t>
  </si>
  <si>
    <t>ORACLE CORP COMMON STOCK USD 0.01</t>
  </si>
  <si>
    <t>ORICA LTD COMMON STOCK AUD 0</t>
  </si>
  <si>
    <t>ORIGIN ENERGY LTD COMMON STOCK AUD 0</t>
  </si>
  <si>
    <t>ORIX CORP COMMON STOCK JPY</t>
  </si>
  <si>
    <t>ORKLA ASA COMMON STOCK NOK 1.25</t>
  </si>
  <si>
    <t>B1VQF42</t>
  </si>
  <si>
    <t>ORORA LTD COMMON STOCK AUD</t>
  </si>
  <si>
    <t>BH4TCW7</t>
  </si>
  <si>
    <t>OTSUKA HOLDINGS CO LTD COMMON STOCK JPY</t>
  </si>
  <si>
    <t>B5LTM93</t>
  </si>
  <si>
    <t>OVERSEA-CHINESE BANKING CORP LTD COMMON STOCK SGD</t>
  </si>
  <si>
    <t>B0F9V20</t>
  </si>
  <si>
    <t>OVINTIV INC COMMON STOCK USD</t>
  </si>
  <si>
    <t>BJ01KB6</t>
  </si>
  <si>
    <t>PACCAR INC COMMON STOCK USD 1</t>
  </si>
  <si>
    <t>PAGE INDUSTRIES LTD COMMON STOCK INR 10</t>
  </si>
  <si>
    <t>B1VJS64</t>
  </si>
  <si>
    <t>PALANTIR TECHNOLOGIES INC COMMON STOCK USD 0.001</t>
  </si>
  <si>
    <t>BN78DQ4</t>
  </si>
  <si>
    <t>PANDORA A/S COMMON STOCK DKK 0.01</t>
  </si>
  <si>
    <t>B44XTX8</t>
  </si>
  <si>
    <t>PARKER-HANNIFIN CORP COMMON STOCK USD 0.5</t>
  </si>
  <si>
    <t>PARKLAND CORP/CANADA</t>
  </si>
  <si>
    <t>BLFHPV8</t>
  </si>
  <si>
    <t>PAYPAL HOLDINGS INC COMMON STOCK USD 0.0001</t>
  </si>
  <si>
    <t>BYW36M8</t>
  </si>
  <si>
    <t>PDD HOLDINGS INC ADR USD 0.00002</t>
  </si>
  <si>
    <t>BYVW0F7</t>
  </si>
  <si>
    <t>PEGATRON CORP COMMON STOCK TWD 10</t>
  </si>
  <si>
    <t>B4PLX17</t>
  </si>
  <si>
    <t>PENTAIR PLC COMMON STOCK USD 0.01</t>
  </si>
  <si>
    <t>BLS09M3</t>
  </si>
  <si>
    <t>PEPPER MONEY LTD/AUSTRALIA COMMON STOCK AUD</t>
  </si>
  <si>
    <t>BMBPP68</t>
  </si>
  <si>
    <t>PEPSICO INC COMMON STOCK USD 0.017</t>
  </si>
  <si>
    <t>PERENTI LTD COMMON STOCK AUD 0</t>
  </si>
  <si>
    <t>BKRKNV4</t>
  </si>
  <si>
    <t>PERNOD RICARD SA COMMON STOCK EUR 1.55</t>
  </si>
  <si>
    <t>PERSEUS MINING LTD COMMON STOCK AUD 0</t>
  </si>
  <si>
    <t>B02FBC1</t>
  </si>
  <si>
    <t>PETRONET LNG LTD COMMON STOCK INR 10</t>
  </si>
  <si>
    <t>B00KT68</t>
  </si>
  <si>
    <t>PEXA GROUP LTD COMMON STOCK AUD</t>
  </si>
  <si>
    <t>BMD0WJ3</t>
  </si>
  <si>
    <t>PFIZER INC COMMON STOCK USD 0.05</t>
  </si>
  <si>
    <t>PG&amp;E CORP COMMON STOCK USD 0</t>
  </si>
  <si>
    <t>PHILLIPS 66 COMMON STOCK USD</t>
  </si>
  <si>
    <t>B78C4Y8</t>
  </si>
  <si>
    <t>PICC PROPERTY &amp; CASUALTY CO LTD COMMON STOCK HKD 1</t>
  </si>
  <si>
    <t>PIDILITE INDUSTRIES LTD COMMON STOCK INR 1</t>
  </si>
  <si>
    <t>B0JJV59</t>
  </si>
  <si>
    <t>PILBARA MINERALS LTD COMMON STOCK AUD 0</t>
  </si>
  <si>
    <t>B2368L5</t>
  </si>
  <si>
    <t>PING AN INSURANCE GROUP CO OF CHINA LTD COMMON</t>
  </si>
  <si>
    <t>B01FLR7</t>
  </si>
  <si>
    <t>BP3R284</t>
  </si>
  <si>
    <t>PINNACLE INVESTMENT MANAGEMENT GROUP LTD COMMON</t>
  </si>
  <si>
    <t>BD0F7H1</t>
  </si>
  <si>
    <t>PLATINUM ASSET MANAGEMENT LTD COMMON STOCK AUD 0</t>
  </si>
  <si>
    <t>B1XK7G8</t>
  </si>
  <si>
    <t>POINTSBET HOLDINGS LTD COMMON STOCK AUD</t>
  </si>
  <si>
    <t>BJYJ845</t>
  </si>
  <si>
    <t>POP MART INTERNATIONAL GROUP LTD COMMON STOCK HKD</t>
  </si>
  <si>
    <t>BN6PP37</t>
  </si>
  <si>
    <t>POU CHEN CORP COMMON STOCK TWD 10</t>
  </si>
  <si>
    <t>POWER CORP OF CANADA COMMON STOCK CAD 0</t>
  </si>
  <si>
    <t>POWER FINANCE CORP LTD COMMON STOCK INR 10</t>
  </si>
  <si>
    <t>B1S7225</t>
  </si>
  <si>
    <t>POWER GRID CORP OF INDIA LTD COMMON STOCK INR 10</t>
  </si>
  <si>
    <t>B233HS6</t>
  </si>
  <si>
    <t>PPG INDUSTRIES INC COMMON STOCK USD 1.66666</t>
  </si>
  <si>
    <t>PRAEMIUM LTD COMMON STOCK AUD 0</t>
  </si>
  <si>
    <t>B13YTQ4</t>
  </si>
  <si>
    <t>PREMIER INVESTMENTS LTD COMMON STOCK AUD 0</t>
  </si>
  <si>
    <t>PRINCIPAL FINANCIAL GROUP INC COMMON STOCK USD</t>
  </si>
  <si>
    <t>PRO MEDICUS LTD COMMON STOCK AUD 0</t>
  </si>
  <si>
    <t>PROGRESSIVE CORP/THE COMMON STOCK USD 1</t>
  </si>
  <si>
    <t>PROMOTORA Y OPERADORA DE INFRAESTRUCTURA SAB DE CV</t>
  </si>
  <si>
    <t>PRUDENTIAL FINANCIAL INC COMMON STOCK USD 0.01</t>
  </si>
  <si>
    <t>PUBLICIS GROUPE SA COMMON STOCK EUR 0.4</t>
  </si>
  <si>
    <t>PULTEGROUP INC COMMON STOCK USD 0.01</t>
  </si>
  <si>
    <t>QANTAS AIRWAYS LTD COMMON STOCK AUD 0</t>
  </si>
  <si>
    <t>QATAR ISLAMIC BANK QPSC COMMON STOCK QAR 1</t>
  </si>
  <si>
    <t>QATAR NATIONAL BANK QPSC COMMON STOCK QAR 1</t>
  </si>
  <si>
    <t>QBE INSURANCE GROUP LTD COMMON STOCK AUD 0</t>
  </si>
  <si>
    <t>QIFU TECHNOLOGY INC ADR USD 0.00001</t>
  </si>
  <si>
    <t>BFMV9Y2</t>
  </si>
  <si>
    <t>QUALCOMM INC COMMON STOCK USD 0.0001</t>
  </si>
  <si>
    <t>QUBE HOLDINGS LTD COMMON STOCK AUD</t>
  </si>
  <si>
    <t>B1L4BC6</t>
  </si>
  <si>
    <t>QUEST DIAGNOSTICS INC COMMON STOCK USD 0.01</t>
  </si>
  <si>
    <t>RAIA DROGASIL SA COMMON STOCK BRL 0</t>
  </si>
  <si>
    <t>B7FQV64</t>
  </si>
  <si>
    <t>RAMELIUS RESOURCES LTD COMMON STOCK AUD 0</t>
  </si>
  <si>
    <t>RAMSAY HEALTH CARE LTD COMMON STOCK AUD 0</t>
  </si>
  <si>
    <t>REA GROUP LTD COMMON STOCK AUD 0</t>
  </si>
  <si>
    <t>REALTEK SEMICONDUCTOR CORP COMMON STOCK TWD 10</t>
  </si>
  <si>
    <t>REC LTD COMMON STOCK INR 10</t>
  </si>
  <si>
    <t>B2Q7WL3</t>
  </si>
  <si>
    <t>RECRUIT HOLDINGS CO LTD COMMON STOCK JPY</t>
  </si>
  <si>
    <t>BQRRZ00</t>
  </si>
  <si>
    <t>REDOX LTD/AUSTRALIA COMMON STOCK AUD</t>
  </si>
  <si>
    <t>BQ81P89</t>
  </si>
  <si>
    <t>REECE LTD COMMON STOCK AUD 0</t>
  </si>
  <si>
    <t>REGIS HEALTHCARE LTD COMMON STOCK AUD</t>
  </si>
  <si>
    <t>BQV68F9</t>
  </si>
  <si>
    <t>REGIS RESOURCES LTD COMMON STOCK AUD 0</t>
  </si>
  <si>
    <t>RELIANCE INDUSTRIES LTD COMMON STOCK INR 10</t>
  </si>
  <si>
    <t>RELIANCE WORLDWIDE CORP LTD COMMON STOCK AUD</t>
  </si>
  <si>
    <t>BD1DM79</t>
  </si>
  <si>
    <t>RESMED INC CDI AUD</t>
  </si>
  <si>
    <t>3F0934S</t>
  </si>
  <si>
    <t>RESOLUTE MINING LTD COMMON STOCK AUD 0</t>
  </si>
  <si>
    <t>REXEL SA COMMON STOCK EUR 5</t>
  </si>
  <si>
    <t>B1VP0K0</t>
  </si>
  <si>
    <t>RIDLEY CORP LTD COMMON STOCK AUD 0</t>
  </si>
  <si>
    <t>RIO TINTO LTD COMMON STOCK AUD 0</t>
  </si>
  <si>
    <t>RIO TINTO PLC COMMON STOCK GBP 10</t>
  </si>
  <si>
    <t>RIVIAN AUTOMOTIVE INC COMMON STOCK USD 0.001</t>
  </si>
  <si>
    <t>BL98841</t>
  </si>
  <si>
    <t>ROBLOX CORP COMMON STOCK USD 0.0001</t>
  </si>
  <si>
    <t>BMWBC20</t>
  </si>
  <si>
    <t>ROCHE HOLDING AG COMMON STOCK CHF 0</t>
  </si>
  <si>
    <t>ROSS STORES INC COMMON STOCK USD 0.01</t>
  </si>
  <si>
    <t>ROYAL BANK OF CANADA COMMON STOCK CAD 0</t>
  </si>
  <si>
    <t>RPM INTERNATIONAL INC COMMON STOCK USD 0.01</t>
  </si>
  <si>
    <t>RTX CORP</t>
  </si>
  <si>
    <t>BM5M5Y3</t>
  </si>
  <si>
    <t>S&amp;P GLOBAL INC COMMON STOCK USD 1</t>
  </si>
  <si>
    <t>BYV2325</t>
  </si>
  <si>
    <t>SALESFORCE.COM INC.</t>
  </si>
  <si>
    <t>SAMSARA INC COMMON STOCK USD 0.0001</t>
  </si>
  <si>
    <t>BPK3058</t>
  </si>
  <si>
    <t>SAMSUNG BIOLOGICS CO LTD COMMON STOCK KRW 2500</t>
  </si>
  <si>
    <t>BYNJCV6</t>
  </si>
  <si>
    <t>SAMSUNG ELECTRONICS CO LTD COMMON STOCK KRW 100</t>
  </si>
  <si>
    <t>SAMSUNG FIRE &amp; MARINE INSURANCE CO LTD COMMON</t>
  </si>
  <si>
    <t>SAMSUNG SDI CO LTD COMMON STOCK KRW 5000</t>
  </si>
  <si>
    <t>SANDFIRE RESOURCES LTD COMMON STOCK AUD 0</t>
  </si>
  <si>
    <t>SANOFI SA COMMON STOCK EUR 2</t>
  </si>
  <si>
    <t>SANTANDER BANK POLSKA SA COMMON STOCK PLN 10</t>
  </si>
  <si>
    <t>SANTOS LTD COMMON STOCK AUD 0</t>
  </si>
  <si>
    <t>4F4142S</t>
  </si>
  <si>
    <t>SAP SE COMMON STOCK EUR 0</t>
  </si>
  <si>
    <t>SAUDI AWWAL BANK COMMON STOCK SAR 10</t>
  </si>
  <si>
    <t>B12LSY7</t>
  </si>
  <si>
    <t>SAUDI INVESTMENT BANK/THE COMMON STOCK SAR 10</t>
  </si>
  <si>
    <t>B12M7M1</t>
  </si>
  <si>
    <t>SAUDI TELECOM CO COMMON STOCK</t>
  </si>
  <si>
    <t>B12M7Q5</t>
  </si>
  <si>
    <t>SCB X PCL FOREIGN SH. THB 10</t>
  </si>
  <si>
    <t>BPH0717</t>
  </si>
  <si>
    <t>SCHLUMBERGER NV COMMON STOCK USD 0.01</t>
  </si>
  <si>
    <t>SCHNEIDER ELECTRIC SE COMMON STOCK EUR 4</t>
  </si>
  <si>
    <t>SEA LTD-ADR</t>
  </si>
  <si>
    <t>BYWD7L4</t>
  </si>
  <si>
    <t>SEAGATE TECHNOLOGY HOLDINGS PLC COMMON STOCK USD</t>
  </si>
  <si>
    <t>BKVD2N4</t>
  </si>
  <si>
    <t>SECURITAS AB COMMON STOCK SEK 1</t>
  </si>
  <si>
    <t>SEEK LTD COMMON STOCK AUD 0</t>
  </si>
  <si>
    <t>B0767Y3</t>
  </si>
  <si>
    <t>SEI INVESTMENTS CO COMMON STOCK USD 0.01</t>
  </si>
  <si>
    <t>SELECT HARVESTS LTD COMMON STOCK AUD 0</t>
  </si>
  <si>
    <t>SERVICE STREAM LTD COMMON STOCK AUD 0</t>
  </si>
  <si>
    <t>B04KLG8</t>
  </si>
  <si>
    <t>SERVICENOW INC COMMON STOCK USD 0.001</t>
  </si>
  <si>
    <t>B80NXX8</t>
  </si>
  <si>
    <t>SEVEN WEST MEDIA LTD COMMON STOCK AUD 0</t>
  </si>
  <si>
    <t>SG FLEET GROUP LTD COMMON STOCK AUD 0</t>
  </si>
  <si>
    <t>BKF0XR2</t>
  </si>
  <si>
    <t>SGH LTD COMMON STOCK AUD 0</t>
  </si>
  <si>
    <t>BR858V2</t>
  </si>
  <si>
    <t>SHELL PLC</t>
  </si>
  <si>
    <t>BP6MXD8</t>
  </si>
  <si>
    <t>SHERWIN-WILLIAMS CO/THE COMMON STOCK USD 1</t>
  </si>
  <si>
    <t>SHINHAN FINANCIAL GROUP CO LTD COMMON STOCK KRW</t>
  </si>
  <si>
    <t>SHOPIFY INC COMMON STOCK CAD</t>
  </si>
  <si>
    <t>BX865C7</t>
  </si>
  <si>
    <t>BXDZ9Z0</t>
  </si>
  <si>
    <t>SIEMENS AG COMMON STOCK EUR 0</t>
  </si>
  <si>
    <t>SIGMA HEALTHCARE LTD COMMON STOCK AUD 0</t>
  </si>
  <si>
    <t>BF13K02</t>
  </si>
  <si>
    <t>SINGAPORE TECHNOLOGIES ENGINEERING LTD COMMON</t>
  </si>
  <si>
    <t>SINO BIOPHARMACEUTICAL LTD COMMON STOCK HKD 0.025</t>
  </si>
  <si>
    <t>B00XSF9</t>
  </si>
  <si>
    <t>SINOTRUK HONG KONG LTD COMMON STOCK HKD 0</t>
  </si>
  <si>
    <t>B296ZH4</t>
  </si>
  <si>
    <t>SK HYNIX INC COMMON STOCK KRW 5000</t>
  </si>
  <si>
    <t>SK SQUARE CO LTD COMMON STOCK KRW 500</t>
  </si>
  <si>
    <t>BMG3GS6</t>
  </si>
  <si>
    <t>SK TELECOM CO LTD COMMON STOCK KRW 100</t>
  </si>
  <si>
    <t>SKANSKA AB COMMON STOCK SEK 0</t>
  </si>
  <si>
    <t>SKYCITY ENTERTAINMENT GROUP LTD COMMON STOCK NZD 0</t>
  </si>
  <si>
    <t>4F4162S</t>
  </si>
  <si>
    <t>SKYWORKS SOLUTIONS INC COMMON STOCK USD 0.25</t>
  </si>
  <si>
    <t>SMARTGROUP CORP LTD COMMON STOCK AUD</t>
  </si>
  <si>
    <t>BNB5WS6</t>
  </si>
  <si>
    <t>SNAP-ON INC COMMON STOCK USD 1</t>
  </si>
  <si>
    <t>SOFTBANK CORP COMMON STOCK JPY</t>
  </si>
  <si>
    <t>BF5M0K5</t>
  </si>
  <si>
    <t>SOLVAR LTD COMMON STOCK AUD</t>
  </si>
  <si>
    <t>BNSMR30</t>
  </si>
  <si>
    <t>SONIC HEALTHCARE LTD COMMON STOCK AUD 0</t>
  </si>
  <si>
    <t>SONOVA HOLDING AG COMMON STOCK CHF 0.05</t>
  </si>
  <si>
    <t>SOUTH32 LTD COMMON STOCK AUD 0</t>
  </si>
  <si>
    <t>6F3450S</t>
  </si>
  <si>
    <t>SOUTHERN CROSS ELECTRICAL ENGINEERING LTD COMMON</t>
  </si>
  <si>
    <t>B296336</t>
  </si>
  <si>
    <t>SOUTHERN CROSS MEDIA GROUP LTD COMMON STOCK AUD 0</t>
  </si>
  <si>
    <t>B5M7371</t>
  </si>
  <si>
    <t>SPOTIFY TECHNOLOGY SA COMMON STOCK USD 0.000625</t>
  </si>
  <si>
    <t>BFZ1K46</t>
  </si>
  <si>
    <t>SRG GLOBAL LTD COMMON STOCK AUD 0</t>
  </si>
  <si>
    <t>BFMZB82</t>
  </si>
  <si>
    <t>SS&amp;C TECHNOLOGIES HOLDINGS INC COMMON STOCK USD</t>
  </si>
  <si>
    <t>B58YSC6</t>
  </si>
  <si>
    <t>STANDARD BANK GROUP LTD COMMON STOCK ZAR 10</t>
  </si>
  <si>
    <t>B030GJ7</t>
  </si>
  <si>
    <t>STANMORE RESOURCES LTD COMMON STOCK AUD</t>
  </si>
  <si>
    <t>B4KDPZ6</t>
  </si>
  <si>
    <t>STAR ENTERTAINMENT GRP LTD/THE COMMON STOCK AUD</t>
  </si>
  <si>
    <t>BD5ZR98</t>
  </si>
  <si>
    <t>STATE BANK OF INDIA COMMON STOCK INR 1</t>
  </si>
  <si>
    <t>BSQCB24</t>
  </si>
  <si>
    <t>STEADFAST GROUP LTD COMMON STOCK AUD 0</t>
  </si>
  <si>
    <t>BCT5FD7</t>
  </si>
  <si>
    <t>STRYKER CORP COMMON STOCK USD 0.1</t>
  </si>
  <si>
    <t>SUBARU CORP COMMON STOCK JPY</t>
  </si>
  <si>
    <t>SUMITOMO ELECTRIC INDUSTRIES LTD COMMON STOCK JPY</t>
  </si>
  <si>
    <t>SUMITOMO MITSUI FINANCIAL GROUP INC COMMON STOCK</t>
  </si>
  <si>
    <t>SUN HUNG KAI PROPERTIES LTD COMMON STOCK HKD 0</t>
  </si>
  <si>
    <t>SUN PHARMACEUTICAL INDUSTRIES LTD COMMON STOCK INR</t>
  </si>
  <si>
    <t>SUNCOR ENERGY INC COMMON STOCK CAD 0</t>
  </si>
  <si>
    <t>B3NB1P2</t>
  </si>
  <si>
    <t>SUNCORP GROUP LTD COMMON STOCK AUD 0</t>
  </si>
  <si>
    <t>SUPERLOOP LTD COMMON STOCK AUD</t>
  </si>
  <si>
    <t>BYPC6V1</t>
  </si>
  <si>
    <t>SUPPLY NETWORK LTD COMMON STOCK AUD 0</t>
  </si>
  <si>
    <t>SUZUKI MOTOR CORP COMMON STOCK JPY</t>
  </si>
  <si>
    <t>SWIRE PACIFIC LTD COMMON STOCK HKD 0</t>
  </si>
  <si>
    <t>SYMBOTIC INC COMMON STOCK USD 0.0001</t>
  </si>
  <si>
    <t>BPG82M8</t>
  </si>
  <si>
    <t>SYNOPSYS INC COMMON STOCK USD 0.01</t>
  </si>
  <si>
    <t>T ROWE PRICE GROUP INC COMMON STOCK USD 0.2</t>
  </si>
  <si>
    <t>TABCORP HOLDINGS LTD COMMON STOCK AUD 0</t>
  </si>
  <si>
    <t>TAG IMMOBILIEN AG COMMON STOCK EUR 0</t>
  </si>
  <si>
    <t>TAIWAN SEMICONDUCTOR MANUFACTURING CO LTD ADR USD</t>
  </si>
  <si>
    <t>TAIWAN SEMICONDUCTOR MANUFACTURING CO LTD COMMON</t>
  </si>
  <si>
    <t>TARGA RESOURCES CORP COMMON STOCK USD 0.001</t>
  </si>
  <si>
    <t>B55PZY3</t>
  </si>
  <si>
    <t>TATA CONSULTANCY SERVICES LTD COMMON STOCK INR 1</t>
  </si>
  <si>
    <t>B01NPJ1</t>
  </si>
  <si>
    <t>TE CONNECTIVITY PLC COMMON STOCK USD 0.01</t>
  </si>
  <si>
    <t>BRC3N84</t>
  </si>
  <si>
    <t>TECH MAHINDRA LTD COMMON STOCK INR 5</t>
  </si>
  <si>
    <t>BWFGD63</t>
  </si>
  <si>
    <t>TECHNOLOGY ONE LTD COMMON STOCK AUD 0</t>
  </si>
  <si>
    <t>TELE2 AB</t>
  </si>
  <si>
    <t>B97C733</t>
  </si>
  <si>
    <t>TELEFLEX INC COMMON STOCK USD 1</t>
  </si>
  <si>
    <t>TELEFONAKTIEBOLAGET LM ERICSSON COMMON STOCK SEK 5</t>
  </si>
  <si>
    <t>TELEFONICA BRASIL SA COMMON STOCK BRL 0</t>
  </si>
  <si>
    <t>B6XFBX3</t>
  </si>
  <si>
    <t>TELIX PHARMACEUTICALS LTD</t>
  </si>
  <si>
    <t>BF7M092</t>
  </si>
  <si>
    <t>TELSTRA GROUP LTD COMMON STOCK AUD 0</t>
  </si>
  <si>
    <t>TEMPLE &amp; WEBSTER GROUP LTD COMMON STOCK AUD</t>
  </si>
  <si>
    <t>BZ1MWM5</t>
  </si>
  <si>
    <t>TENCENT HOLDINGS LTD COMMON STOCK HKD 0.00002</t>
  </si>
  <si>
    <t>BMMV2K8</t>
  </si>
  <si>
    <t>TENCENT MUSIC ENTERTAINMENT GROUP ADR USD 0.000083</t>
  </si>
  <si>
    <t>BFZYWR2</t>
  </si>
  <si>
    <t>TERADYNE INC COMMON STOCK USD 0.125</t>
  </si>
  <si>
    <t>TERRACOM LTD COMMON STOCK AUD 0</t>
  </si>
  <si>
    <t>BYSXBF0</t>
  </si>
  <si>
    <t>TESCO PLC COMMON STOCK GBP 6.3333</t>
  </si>
  <si>
    <t>BLGZ986</t>
  </si>
  <si>
    <t>TESLA INC COMMON STOCK USD 0.001</t>
  </si>
  <si>
    <t>B616C79</t>
  </si>
  <si>
    <t>TEVA PHARMACEUTICAL INDUSTRIES LTD ADR USD</t>
  </si>
  <si>
    <t>TEXAS INSTRUMENTS INC COMMON STOCK USD 1</t>
  </si>
  <si>
    <t>TEXAS PACIFIC LAND CORP COMMON STOCK USD 0.01</t>
  </si>
  <si>
    <t>BM99VY2</t>
  </si>
  <si>
    <t>TEXTRON INC COMMON STOCK USD 0.125</t>
  </si>
  <si>
    <t>TFI INTERNATIONAL INC COMMON STOCK CAD 0</t>
  </si>
  <si>
    <t>BDRXBF4</t>
  </si>
  <si>
    <t>THALES SA COMMON STOCK EUR 3</t>
  </si>
  <si>
    <t>THE PROCTER &amp; GAMBLE COMPANY.</t>
  </si>
  <si>
    <t>THE WALT DISNEY COMPANY</t>
  </si>
  <si>
    <t>THERMO FISHER SCIENTIFIC INC COMMON STOCK USD 1</t>
  </si>
  <si>
    <t>TIM SA/BRAZIL COMMON STOCK BRL</t>
  </si>
  <si>
    <t>BN71RB6</t>
  </si>
  <si>
    <t>TITAN CO LTD COMMON STOCK INR 1</t>
  </si>
  <si>
    <t>TJX COS INC/THE COMMON STOCK USD 1</t>
  </si>
  <si>
    <t>T-MOBILE US INC COMMON STOCK USD 0.0001</t>
  </si>
  <si>
    <t>B94Q9V0</t>
  </si>
  <si>
    <t>TOKYO ELECTRON LTD COMMON STOCK JPY</t>
  </si>
  <si>
    <t>TOTALENERGIES SE COMMON STOCK EUR 2.5</t>
  </si>
  <si>
    <t>B15C557</t>
  </si>
  <si>
    <t>TOYOTA MOTOR CORP COMMON STOCK JPY</t>
  </si>
  <si>
    <t>TRADE DESK INC/THE COMMON STOCK USD 0.000001</t>
  </si>
  <si>
    <t>BD8FDD1</t>
  </si>
  <si>
    <t>TRANE TECHNOLOGIES PLC COMMON STOCK USD 1</t>
  </si>
  <si>
    <t>BK9ZQ96</t>
  </si>
  <si>
    <t>TREASURY WINE ESTATES LTD COMMON STOCK AUD</t>
  </si>
  <si>
    <t>B61JC67</t>
  </si>
  <si>
    <t>TRIP.COM GROUP LTD ADR USD 0.01</t>
  </si>
  <si>
    <t>BK1K3N2</t>
  </si>
  <si>
    <t>TRIP.COM GROUP LTD COMMON STOCK HKD 0.0005</t>
  </si>
  <si>
    <t>BNYK8H9</t>
  </si>
  <si>
    <t>TUAS LTD COMMON STOCK AUD</t>
  </si>
  <si>
    <t>BM94P78</t>
  </si>
  <si>
    <t>TURKCELL ILETISIM HIZMET AS</t>
  </si>
  <si>
    <t>B03MYN3</t>
  </si>
  <si>
    <t>TWILIO INC COMMON STOCK USD 0.001</t>
  </si>
  <si>
    <t>BD6P5Q0</t>
  </si>
  <si>
    <t>TYRO PAYMENTS LTD COMMON STOCK AUD</t>
  </si>
  <si>
    <t>BL0KWK0</t>
  </si>
  <si>
    <t>UBER TECHNOLOGIES INC COMMON STOCK USD 0.00001</t>
  </si>
  <si>
    <t>BK6N347</t>
  </si>
  <si>
    <t>U-HAUL HOLDING CO COMMON STOCK USD 0.001</t>
  </si>
  <si>
    <t>BP0VMC3</t>
  </si>
  <si>
    <t>ULTRAPAR PARTICIPACOES SA COMMON STOCK BRL 0</t>
  </si>
  <si>
    <t>B0FHTN1</t>
  </si>
  <si>
    <t>UNICREDIT SPA COMMON STOCK EUR 0</t>
  </si>
  <si>
    <t>BYMXPS7</t>
  </si>
  <si>
    <t>UNILEVER PLC COMMON STOCK GBP 0.031111</t>
  </si>
  <si>
    <t>B10RZP7</t>
  </si>
  <si>
    <t>UNI-PRESIDENT ENTERPRISES CORP COMMON STOCK TWD 10</t>
  </si>
  <si>
    <t>UNITED AIRLINES HOLDINGS INC COMMON STOCK USD 0.01</t>
  </si>
  <si>
    <t>B4QG225</t>
  </si>
  <si>
    <t>UNITED OVERSEAS BANK LTD COMMON STOCK SGD 0</t>
  </si>
  <si>
    <t>UNITED RENTALS INC COMMON STOCK USD 0.01</t>
  </si>
  <si>
    <t>UNITED THERAPEUTICS CORP COMMON STOCK USD 0.01</t>
  </si>
  <si>
    <t>UNITED TRACTORS TBK PT COMMON STOCK IDR 250</t>
  </si>
  <si>
    <t>UNITEDHEALTH GROUP INC COMMON STOCK USD 0.01</t>
  </si>
  <si>
    <t>UNIVERSAL STORE HOLDINGS LTD COMMON STOCK AUD</t>
  </si>
  <si>
    <t>BMCK9H1</t>
  </si>
  <si>
    <t>UPL LTD COMMON STOCK INR 0.5</t>
  </si>
  <si>
    <t>BRZX7N4</t>
  </si>
  <si>
    <t>VALE SA COMMON STOCK BRL 0</t>
  </si>
  <si>
    <t>VANGUARD FTSE ALL-WORLD EX-US ETF ETP USD</t>
  </si>
  <si>
    <t>B1TWZH5</t>
  </si>
  <si>
    <t>VEEVA SYSTEMS INC COMMON STOCK USD 0.00001</t>
  </si>
  <si>
    <t>BFH3N85</t>
  </si>
  <si>
    <t>VENTIA SERVICES GROUP PTY LTD COMMON STOCK AUD</t>
  </si>
  <si>
    <t>BNV08F0</t>
  </si>
  <si>
    <t>VERIZON COMMUNICATIONS INC COMMON STOCK USD 0.1</t>
  </si>
  <si>
    <t>VERTIV HOLDINGS CO</t>
  </si>
  <si>
    <t>BL3LWS8</t>
  </si>
  <si>
    <t>VIATRIS INC COMMON STOCK USD</t>
  </si>
  <si>
    <t>BMWS3X9</t>
  </si>
  <si>
    <t>VIBRA ENERGIA SA COMMON STOCK BRL</t>
  </si>
  <si>
    <t>BPBLV81</t>
  </si>
  <si>
    <t>VISA INC COMMON STOCK USD 0.0001</t>
  </si>
  <si>
    <t>B2PZN04</t>
  </si>
  <si>
    <t>VIVA ENERGY GROUP LTD COMMON STOCK AUD</t>
  </si>
  <si>
    <t>BYQM3N1</t>
  </si>
  <si>
    <t>VOLVO AB COMMON STOCK SEK 1.26</t>
  </si>
  <si>
    <t>B1QH830</t>
  </si>
  <si>
    <t>VULCAN MATERIALS CO COMMON STOCK USD 1</t>
  </si>
  <si>
    <t>VULCAN STEEL LTD COMMON STOCK AUD</t>
  </si>
  <si>
    <t>0H2985S</t>
  </si>
  <si>
    <t>WALMART INC COMMON STOCK USD 0.1</t>
  </si>
  <si>
    <t>WARTSILA OYJ ABP COMMON STOCK EUR 0</t>
  </si>
  <si>
    <t>WASHINGTON H SOUL PATTINSON &amp; CO LTD COMMON STOCK</t>
  </si>
  <si>
    <t>WEB TRAVEL GROUP LTD COMMON STOCK AUD 0</t>
  </si>
  <si>
    <t>WEG SA COMMON STOCK BRL 0</t>
  </si>
  <si>
    <t>WELLS FARGO &amp; CO COMMON STOCK USD 1.666</t>
  </si>
  <si>
    <t>WESFARMERS LTD COMMON STOCK AUD 0</t>
  </si>
  <si>
    <t>WEST AFRICAN RESOURCES LTD COMMON STOCK AUD 0</t>
  </si>
  <si>
    <t>B4KBBN0</t>
  </si>
  <si>
    <t>WESTGOLD RESOURCES LTD COMMON STOCK AUD 0</t>
  </si>
  <si>
    <t>BYVQ673</t>
  </si>
  <si>
    <t>WESTINGHOUSE AIR BRAKE TECHNOLOGIES CORP COMMON</t>
  </si>
  <si>
    <t>WESTPAC BANKING CORP COMMON STOCK AUD 0</t>
  </si>
  <si>
    <t>WH GROUP LTD COMMON STOCK HKD 0.0001</t>
  </si>
  <si>
    <t>BLLHKZ1</t>
  </si>
  <si>
    <t>WHEATON PRECIOUS METALS CORP</t>
  </si>
  <si>
    <t>BF13KN5</t>
  </si>
  <si>
    <t>WHITEHAVEN COAL LTD COMMON STOCK AUD 0</t>
  </si>
  <si>
    <t>B1XQXC4</t>
  </si>
  <si>
    <t>WILLIAMS-SONOMA INC COMMON STOCK USD 0.01</t>
  </si>
  <si>
    <t>WIPRO LTD COMMON STOCK INR 2</t>
  </si>
  <si>
    <t>WISETECH GLOBAL LTD COMMON STOCK AUD</t>
  </si>
  <si>
    <t>BZ8GX83</t>
  </si>
  <si>
    <t>WIX.COM LTD COMMON STOCK USD 0.01</t>
  </si>
  <si>
    <t>BFZCHN7</t>
  </si>
  <si>
    <t>WOLTERS KLUWER NV COMMON STOCK EUR 0.12</t>
  </si>
  <si>
    <t>WOODSIDE ENERGY GROUP LTD COMMON STOCK AUD 0</t>
  </si>
  <si>
    <t>1H8121S</t>
  </si>
  <si>
    <t>WOOLWORTHS GROUP LTD COMMON STOCK AUD 0</t>
  </si>
  <si>
    <t>WOORI FINANCIAL GROUP INC COMMON STOCK KRW 5000</t>
  </si>
  <si>
    <t>BGHWH98</t>
  </si>
  <si>
    <t>WORKDAY INC COMMON STOCK USD 0.001</t>
  </si>
  <si>
    <t>B8K6ZD1</t>
  </si>
  <si>
    <t>WORLEY LTD COMMON STOCK AUD 0</t>
  </si>
  <si>
    <t>WSP GLOBAL INC COMMON STOCK CAD 0</t>
  </si>
  <si>
    <t>BHR3R21</t>
  </si>
  <si>
    <t>WYNN RESORTS LTD COMMON STOCK USD 0.01</t>
  </si>
  <si>
    <t>XERO LTD COMMON STOCK AUD 0</t>
  </si>
  <si>
    <t>B8P4LP4</t>
  </si>
  <si>
    <t>XIAOMI CORP COMMON STOCK HKD 0.0000025</t>
  </si>
  <si>
    <t>BG0ZMJ9</t>
  </si>
  <si>
    <t>XP INC COMMON STOCK USD</t>
  </si>
  <si>
    <t>BK4Y052</t>
  </si>
  <si>
    <t>YOKOGAWA ELECTRIC CORP COMMON STOCK</t>
  </si>
  <si>
    <t>YUANTA FINANCIAL HOLDING CO LTD COMMON STOCK TWD</t>
  </si>
  <si>
    <t>YUNNAN ALUMINIUM CO LTD COMMON STOCK CNY 1</t>
  </si>
  <si>
    <t>BD5CB75</t>
  </si>
  <si>
    <t>ZEBRA TECHNOLOGIES CORP COMMON STOCK USD 0.01</t>
  </si>
  <si>
    <t>ZIJIN MINING GROUP CO LTD COMMON STOCK HKD 0.1</t>
  </si>
  <si>
    <t>ZIP CO LTD COMMON STOCK AUD</t>
  </si>
  <si>
    <t>BPP1Y77</t>
  </si>
  <si>
    <t>ZOOM COMMUNICATIONS INC COMMON STOCK USD 0.001</t>
  </si>
  <si>
    <t>BGSP7M9</t>
  </si>
  <si>
    <t>ZURICH INSURANCE GROUP AG COMMON STOCK CHF 0.1</t>
  </si>
  <si>
    <t>ZYDUS LIFESCIENCES LTD COMMON STOCK INR 1</t>
  </si>
  <si>
    <t>BYM8TG8</t>
  </si>
  <si>
    <t>Unlisted Equity Internal</t>
  </si>
  <si>
    <t>Industry Super Holdings Ptl Limited</t>
  </si>
  <si>
    <t>ISPT OPERATIONS TRUST AUD</t>
  </si>
  <si>
    <t>Unlisted Equity External</t>
  </si>
  <si>
    <t>Baillie Gifford Overseas Limited</t>
  </si>
  <si>
    <t>BlackRock Realty Advisors</t>
  </si>
  <si>
    <t>Lexington Partners</t>
  </si>
  <si>
    <t>Mesirow Financial Investment Management, Inc</t>
  </si>
  <si>
    <t>Stafford Capital Partners Pty Limited</t>
  </si>
  <si>
    <t>StepStone VC Global Partners IV, L.P.</t>
  </si>
  <si>
    <t>VenCap International plc</t>
  </si>
  <si>
    <t>Listed Property</t>
  </si>
  <si>
    <t>ABACUS STORAGE KING REIT AUD</t>
  </si>
  <si>
    <t>BQYLGZ7</t>
  </si>
  <si>
    <t>AGREE REALTY CORP REIT USD 0.0001</t>
  </si>
  <si>
    <t>APN CONVENIENCE RETAIL REIT</t>
  </si>
  <si>
    <t>BPG8J16</t>
  </si>
  <si>
    <t>ARENA REIT REIT AUD 0</t>
  </si>
  <si>
    <t>B99K263</t>
  </si>
  <si>
    <t>AVALONBAY COMMUNITIES INC REIT USD 0.01</t>
  </si>
  <si>
    <t>BIG YELLOW GROUP PLC REIT GBP 10</t>
  </si>
  <si>
    <t>BRITISH LAND CO PLC/THE REIT GBP 25</t>
  </si>
  <si>
    <t>BWP TRUST REIT AUD 0</t>
  </si>
  <si>
    <t>BXP INC REIT USD 0.01</t>
  </si>
  <si>
    <t>CANADIAN APARTMENT PROPERTIES REIT REIT CAD 0</t>
  </si>
  <si>
    <t>CENTURIA CAPITAL GROUP STAPLED SECURITY AUD 0</t>
  </si>
  <si>
    <t>CENTURIA INDUSTRIAL REIT REIT AUD 0</t>
  </si>
  <si>
    <t>BD31FD8</t>
  </si>
  <si>
    <t>CENTURIA OFFICE REIT REIT AUD 0</t>
  </si>
  <si>
    <t>BKTW448</t>
  </si>
  <si>
    <t>CHARTER HALL GROUP REIT AUD 0</t>
  </si>
  <si>
    <t>B15F6S6</t>
  </si>
  <si>
    <t>CHARTER HALL LONG WALE REIT REIT AUD</t>
  </si>
  <si>
    <t>BDB46J2</t>
  </si>
  <si>
    <t>CHARTER HALL RETAIL REIT REIT AUD 0</t>
  </si>
  <si>
    <t>CHARTER HALL SOCIAL INFRASTRUCTURE REIT REIT AUD 0</t>
  </si>
  <si>
    <t>BHJVMY0</t>
  </si>
  <si>
    <t>COUSINS PROPERTIES INC REIT USD 1</t>
  </si>
  <si>
    <t>BJP0MF6</t>
  </si>
  <si>
    <t>COVIVIO SA/FRANCE REIT EUR 3</t>
  </si>
  <si>
    <t>CROMWELL PROPERTY GROUP REIT AUD 0</t>
  </si>
  <si>
    <t>CROWN CASTLE INTERNATIONAL CORP</t>
  </si>
  <si>
    <t>BTGQCX1</t>
  </si>
  <si>
    <t>CUBESMART REIT USD 0.01</t>
  </si>
  <si>
    <t>B6SW913</t>
  </si>
  <si>
    <t>DERWENT LONDON PLC REIT GBP 5</t>
  </si>
  <si>
    <t>DEXUS INDUSTRIA REIT REIT AUD 0</t>
  </si>
  <si>
    <t>BP2RQ94</t>
  </si>
  <si>
    <t>DEXUS REIT AUD 0</t>
  </si>
  <si>
    <t>B033YN6</t>
  </si>
  <si>
    <t>DIGITAL REALTY TRUST INC REIT USD 0.01</t>
  </si>
  <si>
    <t>B03GQS4</t>
  </si>
  <si>
    <t>EQUINIX INC REIT USD 0.001</t>
  </si>
  <si>
    <t>BVLZX12</t>
  </si>
  <si>
    <t>EQUITY LIFESTYLE PROPERTIES INC REIT USD 0.01</t>
  </si>
  <si>
    <t>EQUITY RESIDENTIAL REIT USD 0.01</t>
  </si>
  <si>
    <t>ESSENTIAL PROPERTIES REALTY TRUST INC REIT USD</t>
  </si>
  <si>
    <t>BFFK0X2</t>
  </si>
  <si>
    <t>ESSEX PROPERTY TRUST INC REIT USD 0.0001</t>
  </si>
  <si>
    <t>EXTRA SPACE STORAGE INC REIT USD 0.01</t>
  </si>
  <si>
    <t>B02HWR9</t>
  </si>
  <si>
    <t>FEDERAL REALTY INVS TRUST</t>
  </si>
  <si>
    <t>BN7P9B2</t>
  </si>
  <si>
    <t>FIBRA UNO ADMINISTRACION SA DE CV REIT MXN 0</t>
  </si>
  <si>
    <t>B671GT8</t>
  </si>
  <si>
    <t>GDI PROPERTY GROUP PARTNERSHIP REIT AUD 0</t>
  </si>
  <si>
    <t>BHB0NV9</t>
  </si>
  <si>
    <t>GOODMAN GROUP REIT AUD 0</t>
  </si>
  <si>
    <t>B03FYZ4</t>
  </si>
  <si>
    <t>GPT GROUP/THE REIT AUD 0</t>
  </si>
  <si>
    <t>GROWTHPOINT PROPERTIES AUSTRALIA LTD REIT AUD 0</t>
  </si>
  <si>
    <t>B1Y9BC8</t>
  </si>
  <si>
    <t>HEALTHPEAK PROPERTIES INC REIT USD 1</t>
  </si>
  <si>
    <t>BJBLRK3</t>
  </si>
  <si>
    <t>HOMECO DAILY NEEDS REIT REIT AUD</t>
  </si>
  <si>
    <t>BNC0NF4</t>
  </si>
  <si>
    <t>HOST HOTELS &amp; RESORTS INC REIT USD 0.01</t>
  </si>
  <si>
    <t>HOTEL PROPERTY INVESTMENTS LTD REIT AUD 0</t>
  </si>
  <si>
    <t>BGSHGN9</t>
  </si>
  <si>
    <t>INGENIA COMMUNITIES GROUP REIT AUD 0</t>
  </si>
  <si>
    <t>B84GSC7</t>
  </si>
  <si>
    <t>INVITATION HOMES INC REIT USD 0.01</t>
  </si>
  <si>
    <t>BD81GW9</t>
  </si>
  <si>
    <t>IRON MOUNTAIN INC REIT USD 0.01</t>
  </si>
  <si>
    <t>BVFTF03</t>
  </si>
  <si>
    <t>KILROY REALTY CORP REIT USD 0.01</t>
  </si>
  <si>
    <t>KIMCO REALTY CORP REIT USD 0.01</t>
  </si>
  <si>
    <t>KLEPIERRE SA REIT EUR 1.4</t>
  </si>
  <si>
    <t>LAND SECURITIES GROUP PLC REIT GBP 10.6667</t>
  </si>
  <si>
    <t>BYW0PQ6</t>
  </si>
  <si>
    <t>LENDLEASE CORP LTD STAPLED SECURITY AUD 0</t>
  </si>
  <si>
    <t>MIRVAC GROUP REIT AUD 0</t>
  </si>
  <si>
    <t>NATIONAL STORAGE REIT REIT AUD 0</t>
  </si>
  <si>
    <t>BGP6479</t>
  </si>
  <si>
    <t>PROLOGIS INC REIT USD 0.01</t>
  </si>
  <si>
    <t>B44WZD7</t>
  </si>
  <si>
    <t>RAM ESSENTIAL SERVICES PROPERTY FUND REIT AUD</t>
  </si>
  <si>
    <t>BMCFQX1</t>
  </si>
  <si>
    <t>REGION RE LTD REIT AUD</t>
  </si>
  <si>
    <t>BPBMY63</t>
  </si>
  <si>
    <t>REXFORD INDUSTRIAL REALTY INC REIT USD 0.01</t>
  </si>
  <si>
    <t>BC9ZHL9</t>
  </si>
  <si>
    <t>SAFESTORE HOLDINGS PLC REIT GBP 1</t>
  </si>
  <si>
    <t>B1N7Z09</t>
  </si>
  <si>
    <t>SCENTRE GROUP REIT AUD 0</t>
  </si>
  <si>
    <t>BLZH0Z7</t>
  </si>
  <si>
    <t>SHAFTESBURY CAPITAL PLC REIT GBP 25</t>
  </si>
  <si>
    <t>B62G9D3</t>
  </si>
  <si>
    <t>SHURGARD SELF STORAGE LTD REIT EUR</t>
  </si>
  <si>
    <t>BQZCBZ4</t>
  </si>
  <si>
    <t>SIMON PROPERTY GROUP INC REIT USD 0.0001</t>
  </si>
  <si>
    <t>SIRIUS REAL ESTATE LTD REIT GBP 0</t>
  </si>
  <si>
    <t>B1W3VF5</t>
  </si>
  <si>
    <t>STOCKLAND REIT AUD 0</t>
  </si>
  <si>
    <t>SUN COMMUNITIES INC REIT USD 0.01</t>
  </si>
  <si>
    <t>TERRENO REALTY CORP REIT USD 0.01</t>
  </si>
  <si>
    <t>B3N4753</t>
  </si>
  <si>
    <t>UNIBAIL-RODAMCO-WESTFIELD REIT EUR 5</t>
  </si>
  <si>
    <t>BF2PQ09</t>
  </si>
  <si>
    <t>UNITE GROUP PLC/THE REIT GBP 25</t>
  </si>
  <si>
    <t>URBAN EDGE PROPERTIES REIT USD 0.01</t>
  </si>
  <si>
    <t>BTPSGQ9</t>
  </si>
  <si>
    <t>VENTAS INC REIT USD 0.25</t>
  </si>
  <si>
    <t>VICINITY LTD REIT AUD 0</t>
  </si>
  <si>
    <t>BY7QXS7</t>
  </si>
  <si>
    <t>WAREHOUSES DE PAUW CVA REIT EUR 0</t>
  </si>
  <si>
    <t>BK8VQD9</t>
  </si>
  <si>
    <t>WAYPOINT REIT LTD REIT AUD</t>
  </si>
  <si>
    <t>BLBQ285</t>
  </si>
  <si>
    <t>WELLTOWER INC</t>
  </si>
  <si>
    <t>BYVYHH4</t>
  </si>
  <si>
    <t>Unlisted Property External</t>
  </si>
  <si>
    <t>Listed Infrastructure</t>
  </si>
  <si>
    <t>APA GROUP STAPLED SECURITY AUD 0</t>
  </si>
  <si>
    <t>ATLAS ARTERIA LTD STAPLED SECURITY AUD</t>
  </si>
  <si>
    <t>BZ03TZ1</t>
  </si>
  <si>
    <t>DALRYMPLE BAY INFRASTRUCTURE LTD STAPLED SECURITY</t>
  </si>
  <si>
    <t>BNM6Z56</t>
  </si>
  <si>
    <t>TRANSURBAN GROUP STAPLED SECURITY AUD 0</t>
  </si>
  <si>
    <t>Unlisted Infrastructure External</t>
  </si>
  <si>
    <t>Copenhagen Infrastructure Partners P/S</t>
  </si>
  <si>
    <t>Stock Id</t>
  </si>
  <si>
    <t>Name</t>
  </si>
  <si>
    <t>TWD</t>
  </si>
  <si>
    <t>KRW</t>
  </si>
  <si>
    <t>MYR</t>
  </si>
  <si>
    <t>PHP</t>
  </si>
  <si>
    <t>QAR</t>
  </si>
  <si>
    <t>IDR</t>
  </si>
  <si>
    <t>UAE</t>
  </si>
  <si>
    <t>NZ</t>
  </si>
  <si>
    <t>SA</t>
  </si>
  <si>
    <t>ID</t>
  </si>
  <si>
    <t>CN</t>
  </si>
  <si>
    <t>HK</t>
  </si>
  <si>
    <t>CA</t>
  </si>
  <si>
    <t>CH</t>
  </si>
  <si>
    <t>AU</t>
  </si>
  <si>
    <t>GR</t>
  </si>
  <si>
    <t>PH</t>
  </si>
  <si>
    <t>KZ</t>
  </si>
  <si>
    <t>TR</t>
  </si>
  <si>
    <t>US</t>
  </si>
  <si>
    <t>Manual</t>
  </si>
  <si>
    <t>Combine</t>
  </si>
  <si>
    <t>cross check with Ausie Super</t>
  </si>
  <si>
    <t>Australia</t>
  </si>
  <si>
    <t>United Kingdom</t>
  </si>
  <si>
    <t>Switzerland</t>
  </si>
  <si>
    <t>United States</t>
  </si>
  <si>
    <t>Spain</t>
  </si>
  <si>
    <t>Japan</t>
  </si>
  <si>
    <t>Netherlands</t>
  </si>
  <si>
    <t>Ireland</t>
  </si>
  <si>
    <t>Belgium</t>
  </si>
  <si>
    <t>Canada</t>
  </si>
  <si>
    <t>Hong Kong</t>
  </si>
  <si>
    <t>China</t>
  </si>
  <si>
    <t>Germany</t>
  </si>
  <si>
    <t>Taiwan</t>
  </si>
  <si>
    <t>France</t>
  </si>
  <si>
    <t>Indonesia</t>
  </si>
  <si>
    <t>Israel</t>
  </si>
  <si>
    <t>Poland</t>
  </si>
  <si>
    <t>Cayman Islands</t>
  </si>
  <si>
    <t>India</t>
  </si>
  <si>
    <t>Sweden</t>
  </si>
  <si>
    <t>Italy</t>
  </si>
  <si>
    <t>Denmark</t>
  </si>
  <si>
    <t>Chile</t>
  </si>
  <si>
    <t>Brazil</t>
  </si>
  <si>
    <t>Malaysia</t>
  </si>
  <si>
    <t>Mexico</t>
  </si>
  <si>
    <t>South Korea</t>
  </si>
  <si>
    <t>Peru</t>
  </si>
  <si>
    <t>Singapore</t>
  </si>
  <si>
    <t>Norway</t>
  </si>
  <si>
    <t>Austria</t>
  </si>
  <si>
    <t>Finland</t>
  </si>
  <si>
    <t>Portugal</t>
  </si>
  <si>
    <t>Luxembourg</t>
  </si>
  <si>
    <t>Thailand</t>
  </si>
  <si>
    <t>South Africa</t>
  </si>
  <si>
    <t>Bermuda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</si>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</sst>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3E0A-2A17-4064-8F31-E455B8DC3813}">
  <dimension ref="A1:N1041"/>
  <sheetViews>
    <sheetView tabSelected="1" topLeftCell="F1" workbookViewId="0">
      <pane ySplit="1" topLeftCell="A29" activePane="bottomLeft" state="frozen"/>
      <selection activeCell="F1" sqref="F1"/>
      <selection pane="bottomLeft" activeCell="R12" sqref="R12"/>
    </sheetView>
  </sheetViews>
  <sheetFormatPr defaultRowHeight="14.5" x14ac:dyDescent="0.35"/>
  <cols>
    <col min="1" max="1" width="12.08984375" bestFit="1" customWidth="1"/>
    <col min="2" max="2" width="15.1796875" bestFit="1" customWidth="1"/>
    <col min="3" max="3" width="14.26953125" bestFit="1" customWidth="1"/>
    <col min="4" max="4" width="26.26953125" bestFit="1" customWidth="1"/>
    <col min="5" max="5" width="6" bestFit="1" customWidth="1"/>
    <col min="6" max="6" width="53.6328125" bestFit="1" customWidth="1"/>
    <col min="7" max="7" width="8.1796875" bestFit="1" customWidth="1"/>
    <col min="8" max="8" width="9.54296875" bestFit="1" customWidth="1"/>
    <col min="9" max="9" width="12.453125" bestFit="1" customWidth="1"/>
    <col min="10" max="10" width="9.1796875" bestFit="1" customWidth="1"/>
    <col min="11" max="11" width="11.36328125" bestFit="1" customWidth="1"/>
    <col min="12" max="12" width="7.36328125" bestFit="1" customWidth="1"/>
    <col min="13" max="13" width="12.453125" bestFit="1" customWidth="1"/>
    <col min="14" max="14" width="12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45657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 t="s">
        <v>18</v>
      </c>
      <c r="I2" t="str">
        <f>IF(ISBLANK(H2),"",INDEX(Sheet1!$F$2:$F$936,MATCH(H2,Sheet1!$C$2:$C$936,0)))</f>
        <v/>
      </c>
      <c r="M2">
        <v>-27694955.510000002</v>
      </c>
      <c r="N2">
        <v>-3.8E-3</v>
      </c>
    </row>
    <row r="3" spans="1:14" x14ac:dyDescent="0.35">
      <c r="A3" s="1">
        <v>45657</v>
      </c>
      <c r="B3" t="s">
        <v>14</v>
      </c>
      <c r="C3" t="s">
        <v>15</v>
      </c>
      <c r="D3" t="s">
        <v>16</v>
      </c>
      <c r="E3">
        <v>1</v>
      </c>
      <c r="F3" t="s">
        <v>19</v>
      </c>
      <c r="G3" t="s">
        <v>18</v>
      </c>
      <c r="I3" t="str">
        <f>IF(ISBLANK(H3),"",INDEX(Sheet1!$F$2:$F$936,MATCH(H3,Sheet1!$C$2:$C$936,0)))</f>
        <v/>
      </c>
      <c r="M3">
        <v>4079515.22</v>
      </c>
      <c r="N3">
        <v>5.9999999999999995E-4</v>
      </c>
    </row>
    <row r="4" spans="1:14" x14ac:dyDescent="0.35">
      <c r="A4" s="1">
        <v>45657</v>
      </c>
      <c r="B4" t="s">
        <v>14</v>
      </c>
      <c r="C4" t="s">
        <v>15</v>
      </c>
      <c r="D4" t="s">
        <v>16</v>
      </c>
      <c r="E4">
        <v>1</v>
      </c>
      <c r="F4" t="s">
        <v>20</v>
      </c>
      <c r="G4" t="s">
        <v>21</v>
      </c>
      <c r="I4" t="str">
        <f>IF(ISBLANK(H4),"",INDEX(Sheet1!$F$2:$F$936,MATCH(H4,Sheet1!$C$2:$C$936,0)))</f>
        <v/>
      </c>
      <c r="M4">
        <v>446108.04249999998</v>
      </c>
      <c r="N4">
        <v>1E-4</v>
      </c>
    </row>
    <row r="5" spans="1:14" x14ac:dyDescent="0.35">
      <c r="A5" s="1">
        <v>45657</v>
      </c>
      <c r="B5" t="s">
        <v>14</v>
      </c>
      <c r="C5" t="s">
        <v>15</v>
      </c>
      <c r="D5" t="s">
        <v>16</v>
      </c>
      <c r="E5">
        <v>1</v>
      </c>
      <c r="F5" t="s">
        <v>22</v>
      </c>
      <c r="G5" t="s">
        <v>18</v>
      </c>
      <c r="I5" t="str">
        <f>IF(ISBLANK(H5),"",INDEX(Sheet1!$F$2:$F$936,MATCH(H5,Sheet1!$C$2:$C$936,0)))</f>
        <v/>
      </c>
      <c r="M5">
        <v>110097.636</v>
      </c>
      <c r="N5">
        <v>0</v>
      </c>
    </row>
    <row r="6" spans="1:14" x14ac:dyDescent="0.35">
      <c r="A6" s="1">
        <v>45657</v>
      </c>
      <c r="B6" t="s">
        <v>14</v>
      </c>
      <c r="C6" t="s">
        <v>15</v>
      </c>
      <c r="D6" t="s">
        <v>16</v>
      </c>
      <c r="E6">
        <v>1</v>
      </c>
      <c r="F6" t="s">
        <v>23</v>
      </c>
      <c r="G6" t="s">
        <v>18</v>
      </c>
      <c r="I6" t="str">
        <f>IF(ISBLANK(H6),"",INDEX(Sheet1!$F$2:$F$936,MATCH(H6,Sheet1!$C$2:$C$936,0)))</f>
        <v/>
      </c>
      <c r="M6">
        <v>76540348.170000002</v>
      </c>
      <c r="N6">
        <v>1.06E-2</v>
      </c>
    </row>
    <row r="7" spans="1:14" x14ac:dyDescent="0.35">
      <c r="A7" s="1">
        <v>45657</v>
      </c>
      <c r="B7" t="s">
        <v>14</v>
      </c>
      <c r="C7" t="s">
        <v>15</v>
      </c>
      <c r="D7" t="s">
        <v>16</v>
      </c>
      <c r="E7">
        <v>1</v>
      </c>
      <c r="F7" t="s">
        <v>24</v>
      </c>
      <c r="G7" t="s">
        <v>21</v>
      </c>
      <c r="I7" t="str">
        <f>IF(ISBLANK(H7),"",INDEX(Sheet1!$F$2:$F$936,MATCH(H7,Sheet1!$C$2:$C$936,0)))</f>
        <v/>
      </c>
      <c r="M7">
        <v>22078.4401</v>
      </c>
      <c r="N7">
        <v>0</v>
      </c>
    </row>
    <row r="8" spans="1:14" x14ac:dyDescent="0.35">
      <c r="A8" s="1">
        <v>45657</v>
      </c>
      <c r="B8" t="s">
        <v>14</v>
      </c>
      <c r="C8" t="s">
        <v>15</v>
      </c>
      <c r="D8" t="s">
        <v>16</v>
      </c>
      <c r="E8">
        <v>1</v>
      </c>
      <c r="F8" t="s">
        <v>25</v>
      </c>
      <c r="G8" t="s">
        <v>18</v>
      </c>
      <c r="I8" t="str">
        <f>IF(ISBLANK(H8),"",INDEX(Sheet1!$F$2:$F$936,MATCH(H8,Sheet1!$C$2:$C$936,0)))</f>
        <v/>
      </c>
      <c r="M8">
        <v>46840409.68</v>
      </c>
      <c r="N8">
        <v>6.5000000000000006E-3</v>
      </c>
    </row>
    <row r="9" spans="1:14" x14ac:dyDescent="0.35">
      <c r="A9" s="1">
        <v>45657</v>
      </c>
      <c r="B9" t="s">
        <v>14</v>
      </c>
      <c r="C9" t="s">
        <v>15</v>
      </c>
      <c r="D9" t="s">
        <v>16</v>
      </c>
      <c r="E9">
        <v>1</v>
      </c>
      <c r="F9" t="s">
        <v>25</v>
      </c>
      <c r="G9" t="s">
        <v>26</v>
      </c>
      <c r="I9" t="str">
        <f>IF(ISBLANK(H9),"",INDEX(Sheet1!$F$2:$F$936,MATCH(H9,Sheet1!$C$2:$C$936,0)))</f>
        <v/>
      </c>
      <c r="M9">
        <v>-2025471.676</v>
      </c>
      <c r="N9">
        <v>-2.9999999999999997E-4</v>
      </c>
    </row>
    <row r="10" spans="1:14" x14ac:dyDescent="0.35">
      <c r="A10" s="1">
        <v>45657</v>
      </c>
      <c r="B10" t="s">
        <v>14</v>
      </c>
      <c r="C10" t="s">
        <v>15</v>
      </c>
      <c r="D10" t="s">
        <v>16</v>
      </c>
      <c r="E10">
        <v>1</v>
      </c>
      <c r="F10" t="s">
        <v>25</v>
      </c>
      <c r="G10" t="s">
        <v>27</v>
      </c>
      <c r="I10" t="str">
        <f>IF(ISBLANK(H10),"",INDEX(Sheet1!$F$2:$F$936,MATCH(H10,Sheet1!$C$2:$C$936,0)))</f>
        <v/>
      </c>
      <c r="M10">
        <v>522578.24329999997</v>
      </c>
      <c r="N10">
        <v>1E-4</v>
      </c>
    </row>
    <row r="11" spans="1:14" x14ac:dyDescent="0.35">
      <c r="A11" s="1">
        <v>45657</v>
      </c>
      <c r="B11" t="s">
        <v>14</v>
      </c>
      <c r="C11" t="s">
        <v>15</v>
      </c>
      <c r="D11" t="s">
        <v>16</v>
      </c>
      <c r="E11">
        <v>1</v>
      </c>
      <c r="F11" t="s">
        <v>25</v>
      </c>
      <c r="G11" t="s">
        <v>28</v>
      </c>
      <c r="I11" t="str">
        <f>IF(ISBLANK(H11),"",INDEX(Sheet1!$F$2:$F$936,MATCH(H11,Sheet1!$C$2:$C$936,0)))</f>
        <v/>
      </c>
      <c r="M11">
        <v>-3676120.7250000001</v>
      </c>
      <c r="N11">
        <v>-5.0000000000000001E-4</v>
      </c>
    </row>
    <row r="12" spans="1:14" x14ac:dyDescent="0.35">
      <c r="A12" s="1">
        <v>45657</v>
      </c>
      <c r="B12" t="s">
        <v>14</v>
      </c>
      <c r="C12" t="s">
        <v>15</v>
      </c>
      <c r="D12" t="s">
        <v>16</v>
      </c>
      <c r="E12">
        <v>1</v>
      </c>
      <c r="F12" t="s">
        <v>25</v>
      </c>
      <c r="G12" t="s">
        <v>29</v>
      </c>
      <c r="I12" t="str">
        <f>IF(ISBLANK(H12),"",INDEX(Sheet1!$F$2:$F$936,MATCH(H12,Sheet1!$C$2:$C$936,0)))</f>
        <v/>
      </c>
      <c r="M12">
        <v>-3606.6792999999998</v>
      </c>
      <c r="N12">
        <v>0</v>
      </c>
    </row>
    <row r="13" spans="1:14" x14ac:dyDescent="0.35">
      <c r="A13" s="1">
        <v>45657</v>
      </c>
      <c r="B13" t="s">
        <v>14</v>
      </c>
      <c r="C13" t="s">
        <v>15</v>
      </c>
      <c r="D13" t="s">
        <v>16</v>
      </c>
      <c r="E13">
        <v>1</v>
      </c>
      <c r="F13" t="s">
        <v>25</v>
      </c>
      <c r="G13" t="s">
        <v>30</v>
      </c>
      <c r="I13" t="str">
        <f>IF(ISBLANK(H13),"",INDEX(Sheet1!$F$2:$F$936,MATCH(H13,Sheet1!$C$2:$C$936,0)))</f>
        <v/>
      </c>
      <c r="M13">
        <v>703074.09649999999</v>
      </c>
      <c r="N13">
        <v>1E-4</v>
      </c>
    </row>
    <row r="14" spans="1:14" x14ac:dyDescent="0.35">
      <c r="A14" s="1">
        <v>45657</v>
      </c>
      <c r="B14" t="s">
        <v>14</v>
      </c>
      <c r="C14" t="s">
        <v>15</v>
      </c>
      <c r="D14" t="s">
        <v>16</v>
      </c>
      <c r="E14">
        <v>1</v>
      </c>
      <c r="F14" t="s">
        <v>25</v>
      </c>
      <c r="G14" t="s">
        <v>31</v>
      </c>
      <c r="I14" t="str">
        <f>IF(ISBLANK(H14),"",INDEX(Sheet1!$F$2:$F$936,MATCH(H14,Sheet1!$C$2:$C$936,0)))</f>
        <v/>
      </c>
      <c r="M14">
        <v>-3343050.3020000001</v>
      </c>
      <c r="N14">
        <v>-5.0000000000000001E-4</v>
      </c>
    </row>
    <row r="15" spans="1:14" x14ac:dyDescent="0.35">
      <c r="A15" s="1">
        <v>45657</v>
      </c>
      <c r="B15" t="s">
        <v>14</v>
      </c>
      <c r="C15" t="s">
        <v>15</v>
      </c>
      <c r="D15" t="s">
        <v>16</v>
      </c>
      <c r="E15">
        <v>1</v>
      </c>
      <c r="F15" t="s">
        <v>25</v>
      </c>
      <c r="G15" t="s">
        <v>32</v>
      </c>
      <c r="I15" t="str">
        <f>IF(ISBLANK(H15),"",INDEX(Sheet1!$F$2:$F$936,MATCH(H15,Sheet1!$C$2:$C$936,0)))</f>
        <v/>
      </c>
      <c r="M15">
        <v>0</v>
      </c>
      <c r="N15">
        <v>0</v>
      </c>
    </row>
    <row r="16" spans="1:14" x14ac:dyDescent="0.35">
      <c r="A16" s="1">
        <v>45657</v>
      </c>
      <c r="B16" t="s">
        <v>14</v>
      </c>
      <c r="C16" t="s">
        <v>15</v>
      </c>
      <c r="D16" t="s">
        <v>16</v>
      </c>
      <c r="E16">
        <v>1</v>
      </c>
      <c r="F16" t="s">
        <v>25</v>
      </c>
      <c r="G16" t="s">
        <v>33</v>
      </c>
      <c r="I16" t="str">
        <f>IF(ISBLANK(H16),"",INDEX(Sheet1!$F$2:$F$936,MATCH(H16,Sheet1!$C$2:$C$936,0)))</f>
        <v/>
      </c>
      <c r="M16">
        <v>1294277.291</v>
      </c>
      <c r="N16">
        <v>2.0000000000000001E-4</v>
      </c>
    </row>
    <row r="17" spans="1:14" x14ac:dyDescent="0.35">
      <c r="A17" s="1">
        <v>45657</v>
      </c>
      <c r="B17" t="s">
        <v>14</v>
      </c>
      <c r="C17" t="s">
        <v>15</v>
      </c>
      <c r="D17" t="s">
        <v>16</v>
      </c>
      <c r="E17">
        <v>1</v>
      </c>
      <c r="F17" t="s">
        <v>25</v>
      </c>
      <c r="G17" t="s">
        <v>34</v>
      </c>
      <c r="I17" t="str">
        <f>IF(ISBLANK(H17),"",INDEX(Sheet1!$F$2:$F$936,MATCH(H17,Sheet1!$C$2:$C$936,0)))</f>
        <v/>
      </c>
      <c r="M17">
        <v>-1500839.9539999999</v>
      </c>
      <c r="N17">
        <v>-2.0000000000000001E-4</v>
      </c>
    </row>
    <row r="18" spans="1:14" x14ac:dyDescent="0.35">
      <c r="A18" s="1">
        <v>45657</v>
      </c>
      <c r="B18" t="s">
        <v>14</v>
      </c>
      <c r="C18" t="s">
        <v>15</v>
      </c>
      <c r="D18" t="s">
        <v>16</v>
      </c>
      <c r="E18">
        <v>1</v>
      </c>
      <c r="F18" t="s">
        <v>25</v>
      </c>
      <c r="G18" t="s">
        <v>35</v>
      </c>
      <c r="I18" t="str">
        <f>IF(ISBLANK(H18),"",INDEX(Sheet1!$F$2:$F$936,MATCH(H18,Sheet1!$C$2:$C$936,0)))</f>
        <v/>
      </c>
      <c r="M18">
        <v>-1751776.865</v>
      </c>
      <c r="N18">
        <v>-2.0000000000000001E-4</v>
      </c>
    </row>
    <row r="19" spans="1:14" x14ac:dyDescent="0.35">
      <c r="A19" s="1">
        <v>45657</v>
      </c>
      <c r="B19" t="s">
        <v>14</v>
      </c>
      <c r="C19" t="s">
        <v>15</v>
      </c>
      <c r="D19" t="s">
        <v>16</v>
      </c>
      <c r="E19">
        <v>1</v>
      </c>
      <c r="F19" t="s">
        <v>25</v>
      </c>
      <c r="G19" t="s">
        <v>36</v>
      </c>
      <c r="I19" t="str">
        <f>IF(ISBLANK(H19),"",INDEX(Sheet1!$F$2:$F$936,MATCH(H19,Sheet1!$C$2:$C$936,0)))</f>
        <v/>
      </c>
      <c r="M19">
        <v>661958.74369999999</v>
      </c>
      <c r="N19">
        <v>1E-4</v>
      </c>
    </row>
    <row r="20" spans="1:14" x14ac:dyDescent="0.35">
      <c r="A20" s="1">
        <v>45657</v>
      </c>
      <c r="B20" t="s">
        <v>14</v>
      </c>
      <c r="C20" t="s">
        <v>15</v>
      </c>
      <c r="D20" t="s">
        <v>16</v>
      </c>
      <c r="E20">
        <v>1</v>
      </c>
      <c r="F20" t="s">
        <v>25</v>
      </c>
      <c r="G20" t="s">
        <v>37</v>
      </c>
      <c r="I20" t="str">
        <f>IF(ISBLANK(H20),"",INDEX(Sheet1!$F$2:$F$936,MATCH(H20,Sheet1!$C$2:$C$936,0)))</f>
        <v/>
      </c>
      <c r="M20">
        <v>-1280737.558</v>
      </c>
      <c r="N20">
        <v>-2.0000000000000001E-4</v>
      </c>
    </row>
    <row r="21" spans="1:14" x14ac:dyDescent="0.35">
      <c r="A21" s="1">
        <v>45657</v>
      </c>
      <c r="B21" t="s">
        <v>14</v>
      </c>
      <c r="C21" t="s">
        <v>15</v>
      </c>
      <c r="D21" t="s">
        <v>16</v>
      </c>
      <c r="E21">
        <v>1</v>
      </c>
      <c r="F21" t="s">
        <v>25</v>
      </c>
      <c r="G21" t="s">
        <v>38</v>
      </c>
      <c r="I21" t="str">
        <f>IF(ISBLANK(H21),"",INDEX(Sheet1!$F$2:$F$936,MATCH(H21,Sheet1!$C$2:$C$936,0)))</f>
        <v/>
      </c>
      <c r="M21">
        <v>-1200555.0090000001</v>
      </c>
      <c r="N21">
        <v>-2.0000000000000001E-4</v>
      </c>
    </row>
    <row r="22" spans="1:14" x14ac:dyDescent="0.35">
      <c r="A22" s="1">
        <v>45657</v>
      </c>
      <c r="B22" t="s">
        <v>14</v>
      </c>
      <c r="C22" t="s">
        <v>15</v>
      </c>
      <c r="D22" t="s">
        <v>16</v>
      </c>
      <c r="E22">
        <v>1</v>
      </c>
      <c r="F22" t="s">
        <v>25</v>
      </c>
      <c r="G22" t="s">
        <v>39</v>
      </c>
      <c r="I22" t="str">
        <f>IF(ISBLANK(H22),"",INDEX(Sheet1!$F$2:$F$936,MATCH(H22,Sheet1!$C$2:$C$936,0)))</f>
        <v/>
      </c>
      <c r="M22">
        <v>-766039.1237</v>
      </c>
      <c r="N22">
        <v>-1E-4</v>
      </c>
    </row>
    <row r="23" spans="1:14" x14ac:dyDescent="0.35">
      <c r="A23" s="1">
        <v>45657</v>
      </c>
      <c r="B23" t="s">
        <v>14</v>
      </c>
      <c r="C23" t="s">
        <v>15</v>
      </c>
      <c r="D23" t="s">
        <v>16</v>
      </c>
      <c r="E23">
        <v>1</v>
      </c>
      <c r="F23" t="s">
        <v>25</v>
      </c>
      <c r="G23" t="s">
        <v>40</v>
      </c>
      <c r="I23" t="str">
        <f>IF(ISBLANK(H23),"",INDEX(Sheet1!$F$2:$F$936,MATCH(H23,Sheet1!$C$2:$C$936,0)))</f>
        <v/>
      </c>
      <c r="M23">
        <v>1492675.389</v>
      </c>
      <c r="N23">
        <v>2.0000000000000001E-4</v>
      </c>
    </row>
    <row r="24" spans="1:14" x14ac:dyDescent="0.35">
      <c r="A24" s="1">
        <v>45657</v>
      </c>
      <c r="B24" t="s">
        <v>14</v>
      </c>
      <c r="C24" t="s">
        <v>15</v>
      </c>
      <c r="D24" t="s">
        <v>16</v>
      </c>
      <c r="E24">
        <v>1</v>
      </c>
      <c r="F24" t="s">
        <v>25</v>
      </c>
      <c r="G24" t="s">
        <v>21</v>
      </c>
      <c r="I24" t="str">
        <f>IF(ISBLANK(H24),"",INDEX(Sheet1!$F$2:$F$936,MATCH(H24,Sheet1!$C$2:$C$936,0)))</f>
        <v/>
      </c>
      <c r="M24">
        <v>-30328902.550000001</v>
      </c>
      <c r="N24">
        <v>-4.1999999999999997E-3</v>
      </c>
    </row>
    <row r="25" spans="1:14" x14ac:dyDescent="0.35">
      <c r="A25" s="1">
        <v>45657</v>
      </c>
      <c r="B25" t="s">
        <v>14</v>
      </c>
      <c r="C25" t="s">
        <v>15</v>
      </c>
      <c r="D25" t="s">
        <v>16</v>
      </c>
      <c r="E25">
        <v>1</v>
      </c>
      <c r="F25" t="s">
        <v>25</v>
      </c>
      <c r="G25" t="s">
        <v>41</v>
      </c>
      <c r="I25" t="str">
        <f>IF(ISBLANK(H25),"",INDEX(Sheet1!$F$2:$F$936,MATCH(H25,Sheet1!$C$2:$C$936,0)))</f>
        <v/>
      </c>
      <c r="M25">
        <v>-1134470.3319999999</v>
      </c>
      <c r="N25">
        <v>-2.0000000000000001E-4</v>
      </c>
    </row>
    <row r="26" spans="1:14" x14ac:dyDescent="0.35">
      <c r="A26" s="1">
        <v>45657</v>
      </c>
      <c r="B26" t="s">
        <v>14</v>
      </c>
      <c r="C26" t="s">
        <v>15</v>
      </c>
      <c r="D26" t="s">
        <v>16</v>
      </c>
      <c r="E26">
        <v>1</v>
      </c>
      <c r="F26" t="s">
        <v>25</v>
      </c>
      <c r="G26" t="s">
        <v>42</v>
      </c>
      <c r="I26" t="str">
        <f>IF(ISBLANK(H26),"",INDEX(Sheet1!$F$2:$F$936,MATCH(H26,Sheet1!$C$2:$C$936,0)))</f>
        <v/>
      </c>
      <c r="M26">
        <v>108501.0955</v>
      </c>
      <c r="N26">
        <v>0</v>
      </c>
    </row>
    <row r="27" spans="1:14" x14ac:dyDescent="0.35">
      <c r="A27" s="1">
        <v>45657</v>
      </c>
      <c r="B27" t="s">
        <v>14</v>
      </c>
      <c r="C27" t="s">
        <v>15</v>
      </c>
      <c r="D27" t="s">
        <v>16</v>
      </c>
      <c r="E27">
        <v>1</v>
      </c>
      <c r="F27" t="s">
        <v>43</v>
      </c>
      <c r="G27" t="s">
        <v>21</v>
      </c>
      <c r="I27" t="str">
        <f>IF(ISBLANK(H27),"",INDEX(Sheet1!$F$2:$F$936,MATCH(H27,Sheet1!$C$2:$C$936,0)))</f>
        <v/>
      </c>
      <c r="M27">
        <v>99531.584600000002</v>
      </c>
      <c r="N27">
        <v>0</v>
      </c>
    </row>
    <row r="28" spans="1:14" x14ac:dyDescent="0.35">
      <c r="A28" s="1">
        <v>45657</v>
      </c>
      <c r="B28" t="s">
        <v>14</v>
      </c>
      <c r="C28" t="s">
        <v>15</v>
      </c>
      <c r="D28" t="s">
        <v>16</v>
      </c>
      <c r="E28">
        <v>1</v>
      </c>
      <c r="F28" t="s">
        <v>44</v>
      </c>
      <c r="G28" t="s">
        <v>21</v>
      </c>
      <c r="I28" t="str">
        <f>IF(ISBLANK(H28),"",INDEX(Sheet1!$F$2:$F$936,MATCH(H28,Sheet1!$C$2:$C$936,0)))</f>
        <v/>
      </c>
      <c r="M28">
        <v>247837.79800000001</v>
      </c>
      <c r="N28">
        <v>0</v>
      </c>
    </row>
    <row r="29" spans="1:14" x14ac:dyDescent="0.35">
      <c r="A29" s="1">
        <v>45657</v>
      </c>
      <c r="B29" t="s">
        <v>14</v>
      </c>
      <c r="C29" t="s">
        <v>15</v>
      </c>
      <c r="D29" t="s">
        <v>16</v>
      </c>
      <c r="E29">
        <v>1</v>
      </c>
      <c r="F29" t="s">
        <v>45</v>
      </c>
      <c r="G29" t="s">
        <v>18</v>
      </c>
      <c r="I29" t="str">
        <f>IF(ISBLANK(H29),"",INDEX(Sheet1!$F$2:$F$936,MATCH(H29,Sheet1!$C$2:$C$936,0)))</f>
        <v/>
      </c>
      <c r="M29">
        <v>9859013.3190000001</v>
      </c>
      <c r="N29">
        <v>1.3999999999999898E-3</v>
      </c>
    </row>
    <row r="30" spans="1:14" x14ac:dyDescent="0.35">
      <c r="A30" s="1">
        <v>45657</v>
      </c>
      <c r="B30" t="s">
        <v>14</v>
      </c>
      <c r="C30" t="s">
        <v>15</v>
      </c>
      <c r="D30" t="s">
        <v>16</v>
      </c>
      <c r="E30">
        <v>1</v>
      </c>
      <c r="F30" t="s">
        <v>45</v>
      </c>
      <c r="G30" t="s">
        <v>21</v>
      </c>
      <c r="I30" t="str">
        <f>IF(ISBLANK(H30),"",INDEX(Sheet1!$F$2:$F$936,MATCH(H30,Sheet1!$C$2:$C$936,0)))</f>
        <v/>
      </c>
      <c r="M30">
        <v>-6533076.6200000001</v>
      </c>
      <c r="N30">
        <v>-8.9999999999999998E-4</v>
      </c>
    </row>
    <row r="31" spans="1:14" x14ac:dyDescent="0.35">
      <c r="A31" s="1">
        <v>45657</v>
      </c>
      <c r="B31" t="s">
        <v>14</v>
      </c>
      <c r="C31" t="s">
        <v>15</v>
      </c>
      <c r="D31" t="s">
        <v>16</v>
      </c>
      <c r="E31">
        <v>1</v>
      </c>
      <c r="F31" t="s">
        <v>46</v>
      </c>
      <c r="G31" t="s">
        <v>18</v>
      </c>
      <c r="I31" t="str">
        <f>IF(ISBLANK(H31),"",INDEX(Sheet1!$F$2:$F$936,MATCH(H31,Sheet1!$C$2:$C$936,0)))</f>
        <v/>
      </c>
      <c r="M31">
        <v>53672.370699999999</v>
      </c>
      <c r="N31">
        <v>0</v>
      </c>
    </row>
    <row r="32" spans="1:14" x14ac:dyDescent="0.35">
      <c r="A32" s="1">
        <v>45657</v>
      </c>
      <c r="B32" t="s">
        <v>14</v>
      </c>
      <c r="C32" t="s">
        <v>15</v>
      </c>
      <c r="D32" t="s">
        <v>16</v>
      </c>
      <c r="E32">
        <v>1</v>
      </c>
      <c r="F32" t="s">
        <v>47</v>
      </c>
      <c r="G32" t="s">
        <v>18</v>
      </c>
      <c r="I32" t="str">
        <f>IF(ISBLANK(H32),"",INDEX(Sheet1!$F$2:$F$936,MATCH(H32,Sheet1!$C$2:$C$936,0)))</f>
        <v/>
      </c>
      <c r="M32">
        <v>3826125.5660000001</v>
      </c>
      <c r="N32">
        <v>5.0000000000000001E-4</v>
      </c>
    </row>
    <row r="33" spans="1:14" x14ac:dyDescent="0.35">
      <c r="A33" s="1">
        <v>45657</v>
      </c>
      <c r="B33" t="s">
        <v>14</v>
      </c>
      <c r="C33" t="s">
        <v>15</v>
      </c>
      <c r="D33" t="s">
        <v>16</v>
      </c>
      <c r="E33">
        <v>1</v>
      </c>
      <c r="F33" t="s">
        <v>17</v>
      </c>
      <c r="G33" t="s">
        <v>18</v>
      </c>
      <c r="I33" t="str">
        <f>IF(ISBLANK(H33),"",INDEX(Sheet1!$F$2:$F$936,MATCH(H33,Sheet1!$C$2:$C$936,0)))</f>
        <v/>
      </c>
      <c r="M33">
        <v>83430408.819999993</v>
      </c>
      <c r="N33">
        <v>1.1599999999999999E-2</v>
      </c>
    </row>
    <row r="34" spans="1:14" x14ac:dyDescent="0.35">
      <c r="A34" s="1">
        <v>45657</v>
      </c>
      <c r="B34" t="s">
        <v>14</v>
      </c>
      <c r="C34" t="s">
        <v>15</v>
      </c>
      <c r="D34" t="s">
        <v>16</v>
      </c>
      <c r="E34">
        <v>1</v>
      </c>
      <c r="F34" t="s">
        <v>17</v>
      </c>
      <c r="G34" t="s">
        <v>26</v>
      </c>
      <c r="I34" t="str">
        <f>IF(ISBLANK(H34),"",INDEX(Sheet1!$F$2:$F$936,MATCH(H34,Sheet1!$C$2:$C$936,0)))</f>
        <v/>
      </c>
      <c r="M34">
        <v>133029.7574</v>
      </c>
      <c r="N34">
        <v>0</v>
      </c>
    </row>
    <row r="35" spans="1:14" x14ac:dyDescent="0.35">
      <c r="A35" s="1">
        <v>45657</v>
      </c>
      <c r="B35" t="s">
        <v>14</v>
      </c>
      <c r="C35" t="s">
        <v>15</v>
      </c>
      <c r="D35" t="s">
        <v>16</v>
      </c>
      <c r="E35">
        <v>1</v>
      </c>
      <c r="F35" t="s">
        <v>17</v>
      </c>
      <c r="G35" t="s">
        <v>48</v>
      </c>
      <c r="I35" t="str">
        <f>IF(ISBLANK(H35),"",INDEX(Sheet1!$F$2:$F$936,MATCH(H35,Sheet1!$C$2:$C$936,0)))</f>
        <v/>
      </c>
      <c r="M35">
        <v>569715.04350000003</v>
      </c>
      <c r="N35">
        <v>1E-4</v>
      </c>
    </row>
    <row r="36" spans="1:14" x14ac:dyDescent="0.35">
      <c r="A36" s="1">
        <v>45657</v>
      </c>
      <c r="B36" t="s">
        <v>14</v>
      </c>
      <c r="C36" t="s">
        <v>15</v>
      </c>
      <c r="D36" t="s">
        <v>16</v>
      </c>
      <c r="E36">
        <v>1</v>
      </c>
      <c r="F36" t="s">
        <v>17</v>
      </c>
      <c r="G36" t="s">
        <v>49</v>
      </c>
      <c r="I36" t="str">
        <f>IF(ISBLANK(H36),"",INDEX(Sheet1!$F$2:$F$936,MATCH(H36,Sheet1!$C$2:$C$936,0)))</f>
        <v/>
      </c>
      <c r="M36">
        <v>56702.735800000002</v>
      </c>
      <c r="N36">
        <v>0</v>
      </c>
    </row>
    <row r="37" spans="1:14" x14ac:dyDescent="0.35">
      <c r="A37" s="1">
        <v>45657</v>
      </c>
      <c r="B37" t="s">
        <v>14</v>
      </c>
      <c r="C37" t="s">
        <v>15</v>
      </c>
      <c r="D37" t="s">
        <v>16</v>
      </c>
      <c r="E37">
        <v>1</v>
      </c>
      <c r="F37" t="s">
        <v>17</v>
      </c>
      <c r="G37" t="s">
        <v>50</v>
      </c>
      <c r="I37" t="str">
        <f>IF(ISBLANK(H37),"",INDEX(Sheet1!$F$2:$F$936,MATCH(H37,Sheet1!$C$2:$C$936,0)))</f>
        <v/>
      </c>
      <c r="M37">
        <v>112064.3882</v>
      </c>
      <c r="N37">
        <v>0</v>
      </c>
    </row>
    <row r="38" spans="1:14" x14ac:dyDescent="0.35">
      <c r="A38" s="1">
        <v>45657</v>
      </c>
      <c r="B38" t="s">
        <v>14</v>
      </c>
      <c r="C38" t="s">
        <v>15</v>
      </c>
      <c r="D38" t="s">
        <v>16</v>
      </c>
      <c r="E38">
        <v>1</v>
      </c>
      <c r="F38" t="s">
        <v>17</v>
      </c>
      <c r="G38" t="s">
        <v>51</v>
      </c>
      <c r="I38" t="str">
        <f>IF(ISBLANK(H38),"",INDEX(Sheet1!$F$2:$F$936,MATCH(H38,Sheet1!$C$2:$C$936,0)))</f>
        <v/>
      </c>
      <c r="M38">
        <v>85.677000000000007</v>
      </c>
      <c r="N38">
        <v>0</v>
      </c>
    </row>
    <row r="39" spans="1:14" x14ac:dyDescent="0.35">
      <c r="A39" s="1">
        <v>45657</v>
      </c>
      <c r="B39" t="s">
        <v>14</v>
      </c>
      <c r="C39" t="s">
        <v>15</v>
      </c>
      <c r="D39" t="s">
        <v>16</v>
      </c>
      <c r="E39">
        <v>1</v>
      </c>
      <c r="F39" t="s">
        <v>17</v>
      </c>
      <c r="G39" t="s">
        <v>29</v>
      </c>
      <c r="I39" t="str">
        <f>IF(ISBLANK(H39),"",INDEX(Sheet1!$F$2:$F$936,MATCH(H39,Sheet1!$C$2:$C$936,0)))</f>
        <v/>
      </c>
      <c r="M39">
        <v>59861.347999999998</v>
      </c>
      <c r="N39">
        <v>0</v>
      </c>
    </row>
    <row r="40" spans="1:14" x14ac:dyDescent="0.35">
      <c r="A40" s="1">
        <v>45657</v>
      </c>
      <c r="B40" t="s">
        <v>14</v>
      </c>
      <c r="C40" t="s">
        <v>15</v>
      </c>
      <c r="D40" t="s">
        <v>16</v>
      </c>
      <c r="E40">
        <v>1</v>
      </c>
      <c r="F40" t="s">
        <v>17</v>
      </c>
      <c r="G40" t="s">
        <v>52</v>
      </c>
      <c r="I40" t="str">
        <f>IF(ISBLANK(H40),"",INDEX(Sheet1!$F$2:$F$936,MATCH(H40,Sheet1!$C$2:$C$936,0)))</f>
        <v/>
      </c>
      <c r="M40">
        <v>64777.544999999998</v>
      </c>
      <c r="N40">
        <v>0</v>
      </c>
    </row>
    <row r="41" spans="1:14" x14ac:dyDescent="0.35">
      <c r="A41" s="1">
        <v>45657</v>
      </c>
      <c r="B41" t="s">
        <v>14</v>
      </c>
      <c r="C41" t="s">
        <v>15</v>
      </c>
      <c r="D41" t="s">
        <v>16</v>
      </c>
      <c r="E41">
        <v>1</v>
      </c>
      <c r="F41" t="s">
        <v>17</v>
      </c>
      <c r="G41" t="s">
        <v>31</v>
      </c>
      <c r="I41" t="str">
        <f>IF(ISBLANK(H41),"",INDEX(Sheet1!$F$2:$F$936,MATCH(H41,Sheet1!$C$2:$C$936,0)))</f>
        <v/>
      </c>
      <c r="M41">
        <v>1109012.666</v>
      </c>
      <c r="N41">
        <v>2.0000000000000001E-4</v>
      </c>
    </row>
    <row r="42" spans="1:14" x14ac:dyDescent="0.35">
      <c r="A42" s="1">
        <v>45657</v>
      </c>
      <c r="B42" t="s">
        <v>14</v>
      </c>
      <c r="C42" t="s">
        <v>15</v>
      </c>
      <c r="D42" t="s">
        <v>16</v>
      </c>
      <c r="E42">
        <v>1</v>
      </c>
      <c r="F42" t="s">
        <v>17</v>
      </c>
      <c r="G42" t="s">
        <v>53</v>
      </c>
      <c r="I42" t="str">
        <f>IF(ISBLANK(H42),"",INDEX(Sheet1!$F$2:$F$936,MATCH(H42,Sheet1!$C$2:$C$936,0)))</f>
        <v/>
      </c>
      <c r="M42">
        <v>590082.93740000005</v>
      </c>
      <c r="N42">
        <v>1E-4</v>
      </c>
    </row>
    <row r="43" spans="1:14" x14ac:dyDescent="0.35">
      <c r="A43" s="1">
        <v>45657</v>
      </c>
      <c r="B43" t="s">
        <v>14</v>
      </c>
      <c r="C43" t="s">
        <v>15</v>
      </c>
      <c r="D43" t="s">
        <v>16</v>
      </c>
      <c r="E43">
        <v>1</v>
      </c>
      <c r="F43" t="s">
        <v>17</v>
      </c>
      <c r="G43" t="s">
        <v>54</v>
      </c>
      <c r="I43" t="str">
        <f>IF(ISBLANK(H43),"",INDEX(Sheet1!$F$2:$F$936,MATCH(H43,Sheet1!$C$2:$C$936,0)))</f>
        <v/>
      </c>
      <c r="M43">
        <v>277265.04070000001</v>
      </c>
      <c r="N43">
        <v>0</v>
      </c>
    </row>
    <row r="44" spans="1:14" x14ac:dyDescent="0.35">
      <c r="A44" s="1">
        <v>45657</v>
      </c>
      <c r="B44" t="s">
        <v>14</v>
      </c>
      <c r="C44" t="s">
        <v>15</v>
      </c>
      <c r="D44" t="s">
        <v>16</v>
      </c>
      <c r="E44">
        <v>1</v>
      </c>
      <c r="F44" t="s">
        <v>17</v>
      </c>
      <c r="G44" t="s">
        <v>32</v>
      </c>
      <c r="I44" t="str">
        <f>IF(ISBLANK(H44),"",INDEX(Sheet1!$F$2:$F$936,MATCH(H44,Sheet1!$C$2:$C$936,0)))</f>
        <v/>
      </c>
      <c r="M44">
        <v>44377.092100000002</v>
      </c>
      <c r="N44">
        <v>0</v>
      </c>
    </row>
    <row r="45" spans="1:14" x14ac:dyDescent="0.35">
      <c r="A45" s="1">
        <v>45657</v>
      </c>
      <c r="B45" t="s">
        <v>14</v>
      </c>
      <c r="C45" t="s">
        <v>15</v>
      </c>
      <c r="D45" t="s">
        <v>16</v>
      </c>
      <c r="E45">
        <v>1</v>
      </c>
      <c r="F45" t="s">
        <v>17</v>
      </c>
      <c r="G45" t="s">
        <v>33</v>
      </c>
      <c r="I45" t="str">
        <f>IF(ISBLANK(H45),"",INDEX(Sheet1!$F$2:$F$936,MATCH(H45,Sheet1!$C$2:$C$936,0)))</f>
        <v/>
      </c>
      <c r="M45">
        <v>65608.930900000007</v>
      </c>
      <c r="N45">
        <v>0</v>
      </c>
    </row>
    <row r="46" spans="1:14" x14ac:dyDescent="0.35">
      <c r="A46" s="1">
        <v>45657</v>
      </c>
      <c r="B46" t="s">
        <v>14</v>
      </c>
      <c r="C46" t="s">
        <v>15</v>
      </c>
      <c r="D46" t="s">
        <v>16</v>
      </c>
      <c r="E46">
        <v>1</v>
      </c>
      <c r="F46" t="s">
        <v>17</v>
      </c>
      <c r="G46" t="s">
        <v>34</v>
      </c>
      <c r="I46" t="str">
        <f>IF(ISBLANK(H46),"",INDEX(Sheet1!$F$2:$F$936,MATCH(H46,Sheet1!$C$2:$C$936,0)))</f>
        <v/>
      </c>
      <c r="M46">
        <v>9804.9315000000006</v>
      </c>
      <c r="N46">
        <v>0</v>
      </c>
    </row>
    <row r="47" spans="1:14" x14ac:dyDescent="0.35">
      <c r="A47" s="1">
        <v>45657</v>
      </c>
      <c r="B47" t="s">
        <v>14</v>
      </c>
      <c r="C47" t="s">
        <v>15</v>
      </c>
      <c r="D47" t="s">
        <v>16</v>
      </c>
      <c r="E47">
        <v>1</v>
      </c>
      <c r="F47" t="s">
        <v>17</v>
      </c>
      <c r="G47" t="s">
        <v>55</v>
      </c>
      <c r="I47" t="str">
        <f>IF(ISBLANK(H47),"",INDEX(Sheet1!$F$2:$F$936,MATCH(H47,Sheet1!$C$2:$C$936,0)))</f>
        <v/>
      </c>
      <c r="M47">
        <v>413947.41739999998</v>
      </c>
      <c r="N47">
        <v>1E-4</v>
      </c>
    </row>
    <row r="48" spans="1:14" x14ac:dyDescent="0.35">
      <c r="A48" s="1">
        <v>45657</v>
      </c>
      <c r="B48" t="s">
        <v>14</v>
      </c>
      <c r="C48" t="s">
        <v>15</v>
      </c>
      <c r="D48" t="s">
        <v>16</v>
      </c>
      <c r="E48">
        <v>1</v>
      </c>
      <c r="F48" t="s">
        <v>17</v>
      </c>
      <c r="G48" t="s">
        <v>35</v>
      </c>
      <c r="I48" t="str">
        <f>IF(ISBLANK(H48),"",INDEX(Sheet1!$F$2:$F$936,MATCH(H48,Sheet1!$C$2:$C$936,0)))</f>
        <v/>
      </c>
      <c r="M48">
        <v>220961.67259999999</v>
      </c>
      <c r="N48">
        <v>0</v>
      </c>
    </row>
    <row r="49" spans="1:14" x14ac:dyDescent="0.35">
      <c r="A49" s="1">
        <v>45657</v>
      </c>
      <c r="B49" t="s">
        <v>14</v>
      </c>
      <c r="C49" t="s">
        <v>15</v>
      </c>
      <c r="D49" t="s">
        <v>16</v>
      </c>
      <c r="E49">
        <v>1</v>
      </c>
      <c r="F49" t="s">
        <v>17</v>
      </c>
      <c r="G49" t="s">
        <v>56</v>
      </c>
      <c r="I49" t="str">
        <f>IF(ISBLANK(H49),"",INDEX(Sheet1!$F$2:$F$936,MATCH(H49,Sheet1!$C$2:$C$936,0)))</f>
        <v/>
      </c>
      <c r="M49">
        <v>65076.759599999998</v>
      </c>
      <c r="N49">
        <v>0</v>
      </c>
    </row>
    <row r="50" spans="1:14" x14ac:dyDescent="0.35">
      <c r="A50" s="1">
        <v>45657</v>
      </c>
      <c r="B50" t="s">
        <v>14</v>
      </c>
      <c r="C50" t="s">
        <v>15</v>
      </c>
      <c r="D50" t="s">
        <v>16</v>
      </c>
      <c r="E50">
        <v>1</v>
      </c>
      <c r="F50" t="s">
        <v>17</v>
      </c>
      <c r="G50" t="s">
        <v>57</v>
      </c>
      <c r="I50" t="str">
        <f>IF(ISBLANK(H50),"",INDEX(Sheet1!$F$2:$F$936,MATCH(H50,Sheet1!$C$2:$C$936,0)))</f>
        <v/>
      </c>
      <c r="M50">
        <v>61308.1397</v>
      </c>
      <c r="N50">
        <v>0</v>
      </c>
    </row>
    <row r="51" spans="1:14" x14ac:dyDescent="0.35">
      <c r="A51" s="1">
        <v>45657</v>
      </c>
      <c r="B51" t="s">
        <v>14</v>
      </c>
      <c r="C51" t="s">
        <v>15</v>
      </c>
      <c r="D51" t="s">
        <v>16</v>
      </c>
      <c r="E51">
        <v>1</v>
      </c>
      <c r="F51" t="s">
        <v>17</v>
      </c>
      <c r="G51" t="s">
        <v>38</v>
      </c>
      <c r="I51" t="str">
        <f>IF(ISBLANK(H51),"",INDEX(Sheet1!$F$2:$F$936,MATCH(H51,Sheet1!$C$2:$C$936,0)))</f>
        <v/>
      </c>
      <c r="M51">
        <v>43549.272400000002</v>
      </c>
      <c r="N51">
        <v>0</v>
      </c>
    </row>
    <row r="52" spans="1:14" x14ac:dyDescent="0.35">
      <c r="A52" s="1">
        <v>45657</v>
      </c>
      <c r="B52" t="s">
        <v>14</v>
      </c>
      <c r="C52" t="s">
        <v>15</v>
      </c>
      <c r="D52" t="s">
        <v>16</v>
      </c>
      <c r="E52">
        <v>1</v>
      </c>
      <c r="F52" t="s">
        <v>17</v>
      </c>
      <c r="G52" t="s">
        <v>58</v>
      </c>
      <c r="I52" t="str">
        <f>IF(ISBLANK(H52),"",INDEX(Sheet1!$F$2:$F$936,MATCH(H52,Sheet1!$C$2:$C$936,0)))</f>
        <v/>
      </c>
      <c r="M52">
        <v>184381.1758</v>
      </c>
      <c r="N52">
        <v>0</v>
      </c>
    </row>
    <row r="53" spans="1:14" x14ac:dyDescent="0.35">
      <c r="A53" s="1">
        <v>45657</v>
      </c>
      <c r="B53" t="s">
        <v>14</v>
      </c>
      <c r="C53" t="s">
        <v>15</v>
      </c>
      <c r="D53" t="s">
        <v>16</v>
      </c>
      <c r="E53">
        <v>1</v>
      </c>
      <c r="F53" t="s">
        <v>17</v>
      </c>
      <c r="G53" t="s">
        <v>59</v>
      </c>
      <c r="I53" t="str">
        <f>IF(ISBLANK(H53),"",INDEX(Sheet1!$F$2:$F$936,MATCH(H53,Sheet1!$C$2:$C$936,0)))</f>
        <v/>
      </c>
      <c r="M53">
        <v>71244.025899999993</v>
      </c>
      <c r="N53">
        <v>0</v>
      </c>
    </row>
    <row r="54" spans="1:14" x14ac:dyDescent="0.35">
      <c r="A54" s="1">
        <v>45657</v>
      </c>
      <c r="B54" t="s">
        <v>14</v>
      </c>
      <c r="C54" t="s">
        <v>15</v>
      </c>
      <c r="D54" t="s">
        <v>16</v>
      </c>
      <c r="E54">
        <v>1</v>
      </c>
      <c r="F54" t="s">
        <v>17</v>
      </c>
      <c r="G54" t="s">
        <v>60</v>
      </c>
      <c r="I54" t="str">
        <f>IF(ISBLANK(H54),"",INDEX(Sheet1!$F$2:$F$936,MATCH(H54,Sheet1!$C$2:$C$936,0)))</f>
        <v/>
      </c>
      <c r="M54">
        <v>30223.797500000001</v>
      </c>
      <c r="N54">
        <v>0</v>
      </c>
    </row>
    <row r="55" spans="1:14" x14ac:dyDescent="0.35">
      <c r="A55" s="1">
        <v>45657</v>
      </c>
      <c r="B55" t="s">
        <v>14</v>
      </c>
      <c r="C55" t="s">
        <v>15</v>
      </c>
      <c r="D55" t="s">
        <v>16</v>
      </c>
      <c r="E55">
        <v>1</v>
      </c>
      <c r="F55" t="s">
        <v>17</v>
      </c>
      <c r="G55" t="s">
        <v>40</v>
      </c>
      <c r="I55" t="str">
        <f>IF(ISBLANK(H55),"",INDEX(Sheet1!$F$2:$F$936,MATCH(H55,Sheet1!$C$2:$C$936,0)))</f>
        <v/>
      </c>
      <c r="M55">
        <v>42588.120199999998</v>
      </c>
      <c r="N55">
        <v>0</v>
      </c>
    </row>
    <row r="56" spans="1:14" x14ac:dyDescent="0.35">
      <c r="A56" s="1">
        <v>45657</v>
      </c>
      <c r="B56" t="s">
        <v>14</v>
      </c>
      <c r="C56" t="s">
        <v>15</v>
      </c>
      <c r="D56" t="s">
        <v>16</v>
      </c>
      <c r="E56">
        <v>1</v>
      </c>
      <c r="F56" t="s">
        <v>17</v>
      </c>
      <c r="G56" t="s">
        <v>21</v>
      </c>
      <c r="I56" t="str">
        <f>IF(ISBLANK(H56),"",INDEX(Sheet1!$F$2:$F$936,MATCH(H56,Sheet1!$C$2:$C$936,0)))</f>
        <v/>
      </c>
      <c r="M56">
        <v>19874074.25</v>
      </c>
      <c r="N56">
        <v>2.7999999999999904E-3</v>
      </c>
    </row>
    <row r="57" spans="1:14" x14ac:dyDescent="0.35">
      <c r="A57" s="1">
        <v>45657</v>
      </c>
      <c r="B57" t="s">
        <v>14</v>
      </c>
      <c r="C57" t="s">
        <v>15</v>
      </c>
      <c r="D57" t="s">
        <v>16</v>
      </c>
      <c r="E57">
        <v>1</v>
      </c>
      <c r="F57" t="s">
        <v>17</v>
      </c>
      <c r="G57" t="s">
        <v>61</v>
      </c>
      <c r="I57" t="str">
        <f>IF(ISBLANK(H57),"",INDEX(Sheet1!$F$2:$F$936,MATCH(H57,Sheet1!$C$2:$C$936,0)))</f>
        <v/>
      </c>
      <c r="M57">
        <v>65050.160100000001</v>
      </c>
      <c r="N57">
        <v>0</v>
      </c>
    </row>
    <row r="58" spans="1:14" x14ac:dyDescent="0.35">
      <c r="A58" s="1">
        <v>45657</v>
      </c>
      <c r="B58" t="s">
        <v>14</v>
      </c>
      <c r="C58" t="s">
        <v>15</v>
      </c>
      <c r="D58" t="s">
        <v>16</v>
      </c>
      <c r="E58">
        <v>1</v>
      </c>
      <c r="F58" t="s">
        <v>17</v>
      </c>
      <c r="G58" t="s">
        <v>41</v>
      </c>
      <c r="I58" t="str">
        <f>IF(ISBLANK(H58),"",INDEX(Sheet1!$F$2:$F$936,MATCH(H58,Sheet1!$C$2:$C$936,0)))</f>
        <v/>
      </c>
      <c r="M58">
        <v>38782.282200000001</v>
      </c>
      <c r="N58">
        <v>0</v>
      </c>
    </row>
    <row r="59" spans="1:14" x14ac:dyDescent="0.35">
      <c r="A59" s="1">
        <v>45657</v>
      </c>
      <c r="B59" t="s">
        <v>14</v>
      </c>
      <c r="C59" t="s">
        <v>15</v>
      </c>
      <c r="D59" t="s">
        <v>16</v>
      </c>
      <c r="E59">
        <v>1</v>
      </c>
      <c r="F59" t="s">
        <v>62</v>
      </c>
      <c r="G59" t="s">
        <v>21</v>
      </c>
      <c r="I59" t="str">
        <f>IF(ISBLANK(H59),"",INDEX(Sheet1!$F$2:$F$936,MATCH(H59,Sheet1!$C$2:$C$936,0)))</f>
        <v/>
      </c>
      <c r="M59">
        <v>-99135.1201</v>
      </c>
      <c r="N59">
        <v>0</v>
      </c>
    </row>
    <row r="60" spans="1:14" x14ac:dyDescent="0.35">
      <c r="A60" s="1">
        <v>45657</v>
      </c>
      <c r="B60" t="s">
        <v>14</v>
      </c>
      <c r="C60" t="s">
        <v>15</v>
      </c>
      <c r="D60" t="s">
        <v>16</v>
      </c>
      <c r="E60">
        <v>1</v>
      </c>
      <c r="F60" t="s">
        <v>63</v>
      </c>
      <c r="G60" t="s">
        <v>18</v>
      </c>
      <c r="I60" t="str">
        <f>IF(ISBLANK(H60),"",INDEX(Sheet1!$F$2:$F$936,MATCH(H60,Sheet1!$C$2:$C$936,0)))</f>
        <v/>
      </c>
      <c r="M60">
        <v>1947936.8289999999</v>
      </c>
      <c r="N60">
        <v>2.9999999999999997E-4</v>
      </c>
    </row>
    <row r="61" spans="1:14" x14ac:dyDescent="0.35">
      <c r="A61" s="1">
        <v>45657</v>
      </c>
      <c r="B61" t="s">
        <v>14</v>
      </c>
      <c r="C61" t="s">
        <v>15</v>
      </c>
      <c r="D61" t="s">
        <v>16</v>
      </c>
      <c r="E61">
        <v>1</v>
      </c>
      <c r="F61" t="s">
        <v>64</v>
      </c>
      <c r="G61" t="s">
        <v>18</v>
      </c>
      <c r="I61" t="str">
        <f>IF(ISBLANK(H61),"",INDEX(Sheet1!$F$2:$F$936,MATCH(H61,Sheet1!$C$2:$C$936,0)))</f>
        <v/>
      </c>
      <c r="M61">
        <v>5661049.7980000004</v>
      </c>
      <c r="N61">
        <v>8.0000000000000004E-4</v>
      </c>
    </row>
    <row r="62" spans="1:14" x14ac:dyDescent="0.35">
      <c r="A62" s="1">
        <v>45657</v>
      </c>
      <c r="B62" t="s">
        <v>14</v>
      </c>
      <c r="C62" t="s">
        <v>15</v>
      </c>
      <c r="D62" t="s">
        <v>16</v>
      </c>
      <c r="E62">
        <v>1</v>
      </c>
      <c r="F62" t="s">
        <v>65</v>
      </c>
      <c r="G62" t="s">
        <v>18</v>
      </c>
      <c r="I62" t="str">
        <f>IF(ISBLANK(H62),"",INDEX(Sheet1!$F$2:$F$936,MATCH(H62,Sheet1!$C$2:$C$936,0)))</f>
        <v/>
      </c>
      <c r="M62">
        <v>85682230.810000002</v>
      </c>
      <c r="N62">
        <v>1.1899999999999999E-2</v>
      </c>
    </row>
    <row r="63" spans="1:14" x14ac:dyDescent="0.35">
      <c r="A63" s="1">
        <v>45657</v>
      </c>
      <c r="B63" t="s">
        <v>14</v>
      </c>
      <c r="C63" t="s">
        <v>15</v>
      </c>
      <c r="D63" t="s">
        <v>16</v>
      </c>
      <c r="E63">
        <v>1</v>
      </c>
      <c r="F63" t="s">
        <v>66</v>
      </c>
      <c r="G63" t="s">
        <v>18</v>
      </c>
      <c r="I63" t="str">
        <f>IF(ISBLANK(H63),"",INDEX(Sheet1!$F$2:$F$936,MATCH(H63,Sheet1!$C$2:$C$936,0)))</f>
        <v/>
      </c>
      <c r="M63">
        <v>25026548</v>
      </c>
      <c r="N63">
        <v>3.4999999999999996E-3</v>
      </c>
    </row>
    <row r="64" spans="1:14" x14ac:dyDescent="0.35">
      <c r="A64" s="1">
        <v>45657</v>
      </c>
      <c r="B64" t="s">
        <v>14</v>
      </c>
      <c r="C64" t="s">
        <v>15</v>
      </c>
      <c r="D64" t="s">
        <v>16</v>
      </c>
      <c r="E64">
        <v>1</v>
      </c>
      <c r="F64" t="s">
        <v>67</v>
      </c>
      <c r="G64" t="s">
        <v>18</v>
      </c>
      <c r="I64" t="str">
        <f>IF(ISBLANK(H64),"",INDEX(Sheet1!$F$2:$F$936,MATCH(H64,Sheet1!$C$2:$C$936,0)))</f>
        <v/>
      </c>
      <c r="M64">
        <v>38381.123800000001</v>
      </c>
      <c r="N64">
        <v>0</v>
      </c>
    </row>
    <row r="65" spans="1:14" x14ac:dyDescent="0.35">
      <c r="A65" s="1">
        <v>45657</v>
      </c>
      <c r="B65" t="s">
        <v>14</v>
      </c>
      <c r="C65" t="s">
        <v>15</v>
      </c>
      <c r="D65" t="s">
        <v>16</v>
      </c>
      <c r="E65">
        <v>1</v>
      </c>
      <c r="F65" t="s">
        <v>68</v>
      </c>
      <c r="G65" t="s">
        <v>21</v>
      </c>
      <c r="I65" t="str">
        <f>IF(ISBLANK(H65),"",INDEX(Sheet1!$F$2:$F$936,MATCH(H65,Sheet1!$C$2:$C$936,0)))</f>
        <v/>
      </c>
      <c r="M65">
        <v>14954461.880000001</v>
      </c>
      <c r="N65">
        <v>2.0999999999999999E-3</v>
      </c>
    </row>
    <row r="66" spans="1:14" x14ac:dyDescent="0.35">
      <c r="A66" s="1">
        <v>45657</v>
      </c>
      <c r="B66" t="s">
        <v>14</v>
      </c>
      <c r="C66" t="s">
        <v>15</v>
      </c>
      <c r="D66" t="s">
        <v>16</v>
      </c>
      <c r="E66">
        <v>1</v>
      </c>
      <c r="F66" t="s">
        <v>69</v>
      </c>
      <c r="G66" t="s">
        <v>18</v>
      </c>
      <c r="I66" t="str">
        <f>IF(ISBLANK(H66),"",INDEX(Sheet1!$F$2:$F$936,MATCH(H66,Sheet1!$C$2:$C$936,0)))</f>
        <v/>
      </c>
      <c r="M66">
        <v>18508.1574</v>
      </c>
      <c r="N66">
        <v>0</v>
      </c>
    </row>
    <row r="67" spans="1:14" x14ac:dyDescent="0.35">
      <c r="A67" s="1">
        <v>45657</v>
      </c>
      <c r="B67" t="s">
        <v>14</v>
      </c>
      <c r="C67" t="s">
        <v>15</v>
      </c>
      <c r="D67" t="s">
        <v>16</v>
      </c>
      <c r="E67">
        <v>1</v>
      </c>
      <c r="F67" t="s">
        <v>70</v>
      </c>
      <c r="G67" t="s">
        <v>18</v>
      </c>
      <c r="I67" t="str">
        <f>IF(ISBLANK(H67),"",INDEX(Sheet1!$F$2:$F$936,MATCH(H67,Sheet1!$C$2:$C$936,0)))</f>
        <v/>
      </c>
      <c r="M67">
        <v>-2993821.5529999998</v>
      </c>
      <c r="N67">
        <v>-4.0000000000000002E-4</v>
      </c>
    </row>
    <row r="68" spans="1:14" x14ac:dyDescent="0.35">
      <c r="A68" s="1">
        <v>45657</v>
      </c>
      <c r="B68" t="s">
        <v>14</v>
      </c>
      <c r="C68" t="s">
        <v>15</v>
      </c>
      <c r="D68" t="s">
        <v>16</v>
      </c>
      <c r="E68">
        <v>1</v>
      </c>
      <c r="F68" t="s">
        <v>71</v>
      </c>
      <c r="I68" t="str">
        <f>IF(ISBLANK(H68),"",INDEX(Sheet1!$F$2:$F$936,MATCH(H68,Sheet1!$C$2:$C$936,0)))</f>
        <v/>
      </c>
      <c r="M68">
        <v>303538343.69389999</v>
      </c>
      <c r="N68">
        <v>4.2199999999999994E-2</v>
      </c>
    </row>
    <row r="69" spans="1:14" x14ac:dyDescent="0.35">
      <c r="A69" s="1">
        <v>45657</v>
      </c>
      <c r="B69" t="s">
        <v>14</v>
      </c>
      <c r="C69" t="s">
        <v>15</v>
      </c>
      <c r="D69" t="s">
        <v>72</v>
      </c>
      <c r="E69">
        <v>0</v>
      </c>
      <c r="F69" t="s">
        <v>19</v>
      </c>
      <c r="I69" t="str">
        <f>IF(ISBLANK(H69),"",INDEX(Sheet1!$F$2:$F$936,MATCH(H69,Sheet1!$C$2:$C$936,0)))</f>
        <v/>
      </c>
      <c r="M69">
        <v>11339775.289999999</v>
      </c>
      <c r="N69">
        <v>1.6000000000000001E-3</v>
      </c>
    </row>
    <row r="70" spans="1:14" x14ac:dyDescent="0.35">
      <c r="A70" s="1">
        <v>45657</v>
      </c>
      <c r="B70" t="s">
        <v>14</v>
      </c>
      <c r="C70" t="s">
        <v>15</v>
      </c>
      <c r="D70" t="s">
        <v>72</v>
      </c>
      <c r="E70">
        <v>0</v>
      </c>
      <c r="F70" t="s">
        <v>73</v>
      </c>
      <c r="I70" t="str">
        <f>IF(ISBLANK(H70),"",INDEX(Sheet1!$F$2:$F$936,MATCH(H70,Sheet1!$C$2:$C$936,0)))</f>
        <v/>
      </c>
      <c r="M70">
        <v>41319805.200000003</v>
      </c>
      <c r="N70">
        <v>5.6999999999999993E-3</v>
      </c>
    </row>
    <row r="71" spans="1:14" x14ac:dyDescent="0.35">
      <c r="A71" s="1">
        <v>45657</v>
      </c>
      <c r="B71" t="s">
        <v>14</v>
      </c>
      <c r="C71" t="s">
        <v>15</v>
      </c>
      <c r="D71" t="s">
        <v>72</v>
      </c>
      <c r="E71">
        <v>0</v>
      </c>
      <c r="F71" t="s">
        <v>74</v>
      </c>
      <c r="I71" t="str">
        <f>IF(ISBLANK(H71),"",INDEX(Sheet1!$F$2:$F$936,MATCH(H71,Sheet1!$C$2:$C$936,0)))</f>
        <v/>
      </c>
      <c r="M71">
        <v>58424440.109999999</v>
      </c>
      <c r="N71">
        <v>8.0999999999999909E-3</v>
      </c>
    </row>
    <row r="72" spans="1:14" x14ac:dyDescent="0.35">
      <c r="A72" s="1">
        <v>45657</v>
      </c>
      <c r="B72" t="s">
        <v>14</v>
      </c>
      <c r="C72" t="s">
        <v>15</v>
      </c>
      <c r="D72" t="s">
        <v>72</v>
      </c>
      <c r="E72">
        <v>0</v>
      </c>
      <c r="F72" t="s">
        <v>23</v>
      </c>
      <c r="I72" t="str">
        <f>IF(ISBLANK(H72),"",INDEX(Sheet1!$F$2:$F$936,MATCH(H72,Sheet1!$C$2:$C$936,0)))</f>
        <v/>
      </c>
      <c r="M72">
        <v>34019584.340000004</v>
      </c>
      <c r="N72">
        <v>4.6999999999999993E-3</v>
      </c>
    </row>
    <row r="73" spans="1:14" x14ac:dyDescent="0.35">
      <c r="A73" s="1">
        <v>45657</v>
      </c>
      <c r="B73" t="s">
        <v>14</v>
      </c>
      <c r="C73" t="s">
        <v>15</v>
      </c>
      <c r="D73" t="s">
        <v>72</v>
      </c>
      <c r="E73">
        <v>0</v>
      </c>
      <c r="F73" t="s">
        <v>66</v>
      </c>
      <c r="I73" t="str">
        <f>IF(ISBLANK(H73),"",INDEX(Sheet1!$F$2:$F$936,MATCH(H73,Sheet1!$C$2:$C$936,0)))</f>
        <v/>
      </c>
      <c r="M73">
        <v>126922848.09999999</v>
      </c>
      <c r="N73">
        <v>1.7600000000000001E-2</v>
      </c>
    </row>
    <row r="74" spans="1:14" x14ac:dyDescent="0.35">
      <c r="A74" s="1">
        <v>45657</v>
      </c>
      <c r="B74" t="s">
        <v>14</v>
      </c>
      <c r="C74" t="s">
        <v>15</v>
      </c>
      <c r="D74" t="s">
        <v>72</v>
      </c>
      <c r="E74">
        <v>0</v>
      </c>
      <c r="F74" t="s">
        <v>75</v>
      </c>
      <c r="I74" t="str">
        <f>IF(ISBLANK(H74),"",INDEX(Sheet1!$F$2:$F$936,MATCH(H74,Sheet1!$C$2:$C$936,0)))</f>
        <v/>
      </c>
      <c r="M74">
        <v>70747519.340000004</v>
      </c>
      <c r="N74">
        <v>9.7999999999999997E-3</v>
      </c>
    </row>
    <row r="75" spans="1:14" x14ac:dyDescent="0.35">
      <c r="A75" s="1">
        <v>45657</v>
      </c>
      <c r="B75" t="s">
        <v>14</v>
      </c>
      <c r="C75" t="s">
        <v>15</v>
      </c>
      <c r="D75" t="s">
        <v>72</v>
      </c>
      <c r="E75">
        <v>0</v>
      </c>
      <c r="F75" t="s">
        <v>71</v>
      </c>
      <c r="I75" t="str">
        <f>IF(ISBLANK(H75),"",INDEX(Sheet1!$F$2:$F$936,MATCH(H75,Sheet1!$C$2:$C$936,0)))</f>
        <v/>
      </c>
      <c r="M75">
        <v>342773972.38</v>
      </c>
      <c r="N75">
        <v>4.7500000000000001E-2</v>
      </c>
    </row>
    <row r="76" spans="1:14" x14ac:dyDescent="0.35">
      <c r="A76" s="1">
        <v>45657</v>
      </c>
      <c r="B76" t="s">
        <v>14</v>
      </c>
      <c r="C76" t="s">
        <v>15</v>
      </c>
      <c r="D76" t="s">
        <v>76</v>
      </c>
      <c r="E76">
        <v>1</v>
      </c>
      <c r="F76" t="s">
        <v>77</v>
      </c>
      <c r="I76" t="str">
        <f>IF(ISBLANK(H76),"",INDEX(Sheet1!$F$2:$F$936,MATCH(H76,Sheet1!$C$2:$C$936,0)))</f>
        <v/>
      </c>
      <c r="M76">
        <v>872351744.89999998</v>
      </c>
      <c r="N76">
        <v>0.1208</v>
      </c>
    </row>
    <row r="77" spans="1:14" x14ac:dyDescent="0.35">
      <c r="A77" s="1">
        <v>45657</v>
      </c>
      <c r="B77" t="s">
        <v>14</v>
      </c>
      <c r="C77" t="s">
        <v>15</v>
      </c>
      <c r="D77" t="s">
        <v>76</v>
      </c>
      <c r="E77">
        <v>1</v>
      </c>
      <c r="F77" t="s">
        <v>78</v>
      </c>
      <c r="I77" t="str">
        <f>IF(ISBLANK(H77),"",INDEX(Sheet1!$F$2:$F$936,MATCH(H77,Sheet1!$C$2:$C$936,0)))</f>
        <v/>
      </c>
      <c r="M77">
        <v>70867352.799999997</v>
      </c>
      <c r="N77">
        <v>9.7999999999999997E-3</v>
      </c>
    </row>
    <row r="78" spans="1:14" x14ac:dyDescent="0.35">
      <c r="A78" s="1">
        <v>45657</v>
      </c>
      <c r="B78" t="s">
        <v>14</v>
      </c>
      <c r="C78" t="s">
        <v>15</v>
      </c>
      <c r="D78" t="s">
        <v>76</v>
      </c>
      <c r="E78">
        <v>1</v>
      </c>
      <c r="F78" t="s">
        <v>79</v>
      </c>
      <c r="I78" t="str">
        <f>IF(ISBLANK(H78),"",INDEX(Sheet1!$F$2:$F$936,MATCH(H78,Sheet1!$C$2:$C$936,0)))</f>
        <v/>
      </c>
      <c r="M78">
        <v>117006712.3</v>
      </c>
      <c r="N78">
        <v>1.6199999999999899E-2</v>
      </c>
    </row>
    <row r="79" spans="1:14" x14ac:dyDescent="0.35">
      <c r="A79" s="1">
        <v>45657</v>
      </c>
      <c r="B79" t="s">
        <v>14</v>
      </c>
      <c r="C79" t="s">
        <v>15</v>
      </c>
      <c r="D79" t="s">
        <v>76</v>
      </c>
      <c r="E79">
        <v>1</v>
      </c>
      <c r="F79" t="s">
        <v>45</v>
      </c>
      <c r="I79" t="str">
        <f>IF(ISBLANK(H79),"",INDEX(Sheet1!$F$2:$F$936,MATCH(H79,Sheet1!$C$2:$C$936,0)))</f>
        <v/>
      </c>
      <c r="M79">
        <v>210024351.09999999</v>
      </c>
      <c r="N79">
        <v>2.9100000000000001E-2</v>
      </c>
    </row>
    <row r="80" spans="1:14" x14ac:dyDescent="0.35">
      <c r="A80" s="1">
        <v>45657</v>
      </c>
      <c r="B80" t="s">
        <v>14</v>
      </c>
      <c r="C80" t="s">
        <v>15</v>
      </c>
      <c r="D80" t="s">
        <v>76</v>
      </c>
      <c r="E80">
        <v>1</v>
      </c>
      <c r="F80" t="s">
        <v>64</v>
      </c>
      <c r="I80" t="str">
        <f>IF(ISBLANK(H80),"",INDEX(Sheet1!$F$2:$F$936,MATCH(H80,Sheet1!$C$2:$C$936,0)))</f>
        <v/>
      </c>
      <c r="M80">
        <v>95187814.280000001</v>
      </c>
      <c r="N80">
        <v>1.32E-2</v>
      </c>
    </row>
    <row r="81" spans="1:14" x14ac:dyDescent="0.35">
      <c r="A81" s="1">
        <v>45657</v>
      </c>
      <c r="B81" t="s">
        <v>14</v>
      </c>
      <c r="C81" t="s">
        <v>15</v>
      </c>
      <c r="D81" t="s">
        <v>76</v>
      </c>
      <c r="E81">
        <v>1</v>
      </c>
      <c r="F81" t="s">
        <v>80</v>
      </c>
      <c r="I81" t="str">
        <f>IF(ISBLANK(H81),"",INDEX(Sheet1!$F$2:$F$936,MATCH(H81,Sheet1!$C$2:$C$936,0)))</f>
        <v/>
      </c>
      <c r="M81">
        <v>47410871.369999997</v>
      </c>
      <c r="N81">
        <v>6.6E-3</v>
      </c>
    </row>
    <row r="82" spans="1:14" x14ac:dyDescent="0.35">
      <c r="A82" s="1">
        <v>45657</v>
      </c>
      <c r="B82" t="s">
        <v>14</v>
      </c>
      <c r="C82" t="s">
        <v>15</v>
      </c>
      <c r="D82" t="s">
        <v>76</v>
      </c>
      <c r="E82">
        <v>1</v>
      </c>
      <c r="F82" t="s">
        <v>71</v>
      </c>
      <c r="I82" t="str">
        <f>IF(ISBLANK(H82),"",INDEX(Sheet1!$F$2:$F$936,MATCH(H82,Sheet1!$C$2:$C$936,0)))</f>
        <v/>
      </c>
      <c r="M82">
        <v>1412848846.75</v>
      </c>
      <c r="N82">
        <v>0.19570000000000001</v>
      </c>
    </row>
    <row r="83" spans="1:14" x14ac:dyDescent="0.35">
      <c r="A83" s="1">
        <v>45657</v>
      </c>
      <c r="B83" t="s">
        <v>14</v>
      </c>
      <c r="C83" t="s">
        <v>15</v>
      </c>
      <c r="D83" t="s">
        <v>81</v>
      </c>
      <c r="E83">
        <v>1</v>
      </c>
      <c r="F83" t="s">
        <v>82</v>
      </c>
      <c r="H83" t="s">
        <v>83</v>
      </c>
      <c r="I83" t="str">
        <f>IF(ISBLANK(H83),"",INDEX(Sheet1!$F$2:$F$936,MATCH(H83,Sheet1!$C$2:$C$936,0)))</f>
        <v>Australia</v>
      </c>
      <c r="J83">
        <v>2329363</v>
      </c>
      <c r="M83">
        <v>570693.85419999994</v>
      </c>
      <c r="N83">
        <v>1E-4</v>
      </c>
    </row>
    <row r="84" spans="1:14" x14ac:dyDescent="0.35">
      <c r="A84" s="1">
        <v>45657</v>
      </c>
      <c r="B84" t="s">
        <v>14</v>
      </c>
      <c r="C84" t="s">
        <v>15</v>
      </c>
      <c r="D84" t="s">
        <v>81</v>
      </c>
      <c r="E84">
        <v>1</v>
      </c>
      <c r="F84" t="s">
        <v>84</v>
      </c>
      <c r="H84" t="s">
        <v>85</v>
      </c>
      <c r="I84" t="str">
        <f>IF(ISBLANK(H84),"",INDEX(Sheet1!$F$2:$F$936,MATCH(H84,Sheet1!$C$2:$C$936,0)))</f>
        <v>United Kingdom</v>
      </c>
      <c r="J84">
        <v>34243</v>
      </c>
      <c r="M84">
        <v>2468616.5619999999</v>
      </c>
      <c r="N84">
        <v>2.9999999999999997E-4</v>
      </c>
    </row>
    <row r="85" spans="1:14" x14ac:dyDescent="0.35">
      <c r="A85" s="1">
        <v>45657</v>
      </c>
      <c r="B85" t="s">
        <v>14</v>
      </c>
      <c r="C85" t="s">
        <v>15</v>
      </c>
      <c r="D85" t="s">
        <v>81</v>
      </c>
      <c r="E85">
        <v>1</v>
      </c>
      <c r="F85" t="s">
        <v>86</v>
      </c>
      <c r="H85" t="s">
        <v>87</v>
      </c>
      <c r="I85" t="str">
        <f>IF(ISBLANK(H85),"",INDEX(Sheet1!$F$2:$F$936,MATCH(H85,Sheet1!$C$2:$C$936,0)))</f>
        <v>NZD</v>
      </c>
      <c r="J85">
        <v>287841</v>
      </c>
      <c r="M85">
        <v>1660843.2590000001</v>
      </c>
      <c r="N85">
        <v>2.0000000000000001E-4</v>
      </c>
    </row>
    <row r="86" spans="1:14" x14ac:dyDescent="0.35">
      <c r="A86" s="1">
        <v>45657</v>
      </c>
      <c r="B86" t="s">
        <v>14</v>
      </c>
      <c r="C86" t="s">
        <v>15</v>
      </c>
      <c r="D86" t="s">
        <v>81</v>
      </c>
      <c r="E86">
        <v>1</v>
      </c>
      <c r="F86" t="s">
        <v>88</v>
      </c>
      <c r="H86" t="s">
        <v>89</v>
      </c>
      <c r="I86" t="str">
        <f>IF(ISBLANK(H86),"",INDEX(Sheet1!$F$2:$F$936,MATCH(H86,Sheet1!$C$2:$C$936,0)))</f>
        <v>INR</v>
      </c>
      <c r="J86">
        <v>6043</v>
      </c>
      <c r="M86">
        <v>786440.09340000001</v>
      </c>
      <c r="N86">
        <v>1E-4</v>
      </c>
    </row>
    <row r="87" spans="1:14" x14ac:dyDescent="0.35">
      <c r="A87" s="1">
        <v>45657</v>
      </c>
      <c r="B87" t="s">
        <v>14</v>
      </c>
      <c r="C87" t="s">
        <v>15</v>
      </c>
      <c r="D87" t="s">
        <v>81</v>
      </c>
      <c r="E87">
        <v>1</v>
      </c>
      <c r="F87" t="s">
        <v>90</v>
      </c>
      <c r="H87">
        <v>7108899</v>
      </c>
      <c r="I87" t="str">
        <f>IF(ISBLANK(H87),"",INDEX(Sheet1!$F$2:$F$936,MATCH(H87,Sheet1!$C$2:$C$936,0)))</f>
        <v>Switzerland</v>
      </c>
      <c r="J87">
        <v>44228</v>
      </c>
      <c r="M87">
        <v>3867102.4449999998</v>
      </c>
      <c r="N87">
        <v>5.0000000000000001E-4</v>
      </c>
    </row>
    <row r="88" spans="1:14" x14ac:dyDescent="0.35">
      <c r="A88" s="1">
        <v>45657</v>
      </c>
      <c r="B88" t="s">
        <v>14</v>
      </c>
      <c r="C88" t="s">
        <v>15</v>
      </c>
      <c r="D88" t="s">
        <v>81</v>
      </c>
      <c r="E88">
        <v>1</v>
      </c>
      <c r="F88" t="s">
        <v>91</v>
      </c>
      <c r="H88">
        <v>2002305</v>
      </c>
      <c r="I88" t="str">
        <f>IF(ISBLANK(H88),"",INDEX(Sheet1!$F$2:$F$936,MATCH(H88,Sheet1!$C$2:$C$936,0)))</f>
        <v>United States</v>
      </c>
      <c r="J88">
        <v>39262</v>
      </c>
      <c r="M88">
        <v>7174547.2860000003</v>
      </c>
      <c r="N88">
        <v>1E-3</v>
      </c>
    </row>
    <row r="89" spans="1:14" x14ac:dyDescent="0.35">
      <c r="A89" s="1">
        <v>45657</v>
      </c>
      <c r="B89" t="s">
        <v>14</v>
      </c>
      <c r="C89" t="s">
        <v>15</v>
      </c>
      <c r="D89" t="s">
        <v>81</v>
      </c>
      <c r="E89">
        <v>1</v>
      </c>
      <c r="F89" t="s">
        <v>92</v>
      </c>
      <c r="H89" t="s">
        <v>93</v>
      </c>
      <c r="I89" t="str">
        <f>IF(ISBLANK(H89),"",INDEX(Sheet1!$F$2:$F$936,MATCH(H89,Sheet1!$C$2:$C$936,0)))</f>
        <v>United States</v>
      </c>
      <c r="J89">
        <v>35141</v>
      </c>
      <c r="M89">
        <v>10090816.75</v>
      </c>
      <c r="N89">
        <v>1.3999999999999898E-3</v>
      </c>
    </row>
    <row r="90" spans="1:14" x14ac:dyDescent="0.35">
      <c r="A90" s="1">
        <v>45657</v>
      </c>
      <c r="B90" t="s">
        <v>14</v>
      </c>
      <c r="C90" t="s">
        <v>15</v>
      </c>
      <c r="D90" t="s">
        <v>81</v>
      </c>
      <c r="E90">
        <v>1</v>
      </c>
      <c r="F90" t="s">
        <v>94</v>
      </c>
      <c r="H90" t="s">
        <v>95</v>
      </c>
      <c r="I90" t="str">
        <f>IF(ISBLANK(H90),"",INDEX(Sheet1!$F$2:$F$936,MATCH(H90,Sheet1!$C$2:$C$936,0)))</f>
        <v>AUD</v>
      </c>
      <c r="J90">
        <v>807271</v>
      </c>
      <c r="M90">
        <v>1889015.2760000001</v>
      </c>
      <c r="N90">
        <v>2.9999999999999997E-4</v>
      </c>
    </row>
    <row r="91" spans="1:14" x14ac:dyDescent="0.35">
      <c r="A91" s="1">
        <v>45657</v>
      </c>
      <c r="B91" t="s">
        <v>14</v>
      </c>
      <c r="C91" t="s">
        <v>15</v>
      </c>
      <c r="D91" t="s">
        <v>81</v>
      </c>
      <c r="E91">
        <v>1</v>
      </c>
      <c r="F91" t="s">
        <v>96</v>
      </c>
      <c r="H91" t="s">
        <v>97</v>
      </c>
      <c r="I91" t="str">
        <f>IF(ISBLANK(H91),"",INDEX(Sheet1!$F$2:$F$936,MATCH(H91,Sheet1!$C$2:$C$936,0)))</f>
        <v>United States</v>
      </c>
      <c r="J91">
        <v>3300</v>
      </c>
      <c r="M91">
        <v>1876816.548</v>
      </c>
      <c r="N91">
        <v>2.9999999999999997E-4</v>
      </c>
    </row>
    <row r="92" spans="1:14" x14ac:dyDescent="0.35">
      <c r="A92" s="1">
        <v>45657</v>
      </c>
      <c r="B92" t="s">
        <v>14</v>
      </c>
      <c r="C92" t="s">
        <v>15</v>
      </c>
      <c r="D92" t="s">
        <v>81</v>
      </c>
      <c r="E92">
        <v>1</v>
      </c>
      <c r="F92" t="s">
        <v>98</v>
      </c>
      <c r="H92" t="s">
        <v>99</v>
      </c>
      <c r="I92" t="str">
        <f>IF(ISBLANK(H92),"",INDEX(Sheet1!$F$2:$F$936,MATCH(H92,Sheet1!$C$2:$C$936,0)))</f>
        <v>Spain</v>
      </c>
      <c r="J92">
        <v>41234</v>
      </c>
      <c r="M92">
        <v>3340498.3790000002</v>
      </c>
      <c r="N92">
        <v>5.0000000000000001E-4</v>
      </c>
    </row>
    <row r="93" spans="1:14" x14ac:dyDescent="0.35">
      <c r="A93" s="1">
        <v>45657</v>
      </c>
      <c r="B93" t="s">
        <v>14</v>
      </c>
      <c r="C93" t="s">
        <v>15</v>
      </c>
      <c r="D93" t="s">
        <v>81</v>
      </c>
      <c r="E93">
        <v>1</v>
      </c>
      <c r="F93" t="s">
        <v>100</v>
      </c>
      <c r="H93" t="s">
        <v>101</v>
      </c>
      <c r="I93" t="str">
        <f>IF(ISBLANK(H93),"",INDEX(Sheet1!$F$2:$F$936,MATCH(H93,Sheet1!$C$2:$C$936,0)))</f>
        <v>AUD</v>
      </c>
      <c r="J93">
        <v>435634</v>
      </c>
      <c r="M93">
        <v>1176211.662</v>
      </c>
      <c r="N93">
        <v>2.0000000000000001E-4</v>
      </c>
    </row>
    <row r="94" spans="1:14" x14ac:dyDescent="0.35">
      <c r="A94" s="1">
        <v>45657</v>
      </c>
      <c r="B94" t="s">
        <v>14</v>
      </c>
      <c r="C94" t="s">
        <v>15</v>
      </c>
      <c r="D94" t="s">
        <v>81</v>
      </c>
      <c r="E94">
        <v>1</v>
      </c>
      <c r="F94" t="s">
        <v>102</v>
      </c>
      <c r="H94">
        <v>2008154</v>
      </c>
      <c r="I94" t="str">
        <f>IF(ISBLANK(H94),"",INDEX(Sheet1!$F$2:$F$936,MATCH(H94,Sheet1!$C$2:$C$936,0)))</f>
        <v>United States</v>
      </c>
      <c r="J94">
        <v>7598</v>
      </c>
      <c r="M94">
        <v>5456460.1169999996</v>
      </c>
      <c r="N94">
        <v>8.0000000000000004E-4</v>
      </c>
    </row>
    <row r="95" spans="1:14" x14ac:dyDescent="0.35">
      <c r="A95" s="1">
        <v>45657</v>
      </c>
      <c r="B95" t="s">
        <v>14</v>
      </c>
      <c r="C95" t="s">
        <v>15</v>
      </c>
      <c r="D95" t="s">
        <v>81</v>
      </c>
      <c r="E95">
        <v>1</v>
      </c>
      <c r="F95" t="s">
        <v>103</v>
      </c>
      <c r="H95">
        <v>2007849</v>
      </c>
      <c r="I95" t="str">
        <f>IF(ISBLANK(H95),"",INDEX(Sheet1!$F$2:$F$936,MATCH(H95,Sheet1!$C$2:$C$936,0)))</f>
        <v>United States</v>
      </c>
      <c r="J95">
        <v>29622</v>
      </c>
      <c r="M95">
        <v>5778436.1069999998</v>
      </c>
      <c r="N95">
        <v>8.0000000000000004E-4</v>
      </c>
    </row>
    <row r="96" spans="1:14" x14ac:dyDescent="0.35">
      <c r="A96" s="1">
        <v>45657</v>
      </c>
      <c r="B96" t="s">
        <v>14</v>
      </c>
      <c r="C96" t="s">
        <v>15</v>
      </c>
      <c r="D96" t="s">
        <v>81</v>
      </c>
      <c r="E96">
        <v>1</v>
      </c>
      <c r="F96" t="s">
        <v>104</v>
      </c>
      <c r="H96">
        <v>6870490</v>
      </c>
      <c r="I96" t="str">
        <f>IF(ISBLANK(H96),"",INDEX(Sheet1!$F$2:$F$936,MATCH(H96,Sheet1!$C$2:$C$936,0)))</f>
        <v>Japan</v>
      </c>
      <c r="J96">
        <v>9800</v>
      </c>
      <c r="M96">
        <v>926330.27249999996</v>
      </c>
      <c r="N96">
        <v>1E-4</v>
      </c>
    </row>
    <row r="97" spans="1:14" x14ac:dyDescent="0.35">
      <c r="A97" s="1">
        <v>45657</v>
      </c>
      <c r="B97" t="s">
        <v>14</v>
      </c>
      <c r="C97" t="s">
        <v>15</v>
      </c>
      <c r="D97" t="s">
        <v>81</v>
      </c>
      <c r="E97">
        <v>1</v>
      </c>
      <c r="F97" t="s">
        <v>105</v>
      </c>
      <c r="H97" t="s">
        <v>106</v>
      </c>
      <c r="I97" t="str">
        <f>IF(ISBLANK(H97),"",INDEX(Sheet1!$F$2:$F$936,MATCH(H97,Sheet1!$C$2:$C$936,0)))</f>
        <v>Netherlands</v>
      </c>
      <c r="J97">
        <v>1570</v>
      </c>
      <c r="M97">
        <v>3754434.2170000002</v>
      </c>
      <c r="N97">
        <v>5.0000000000000001E-4</v>
      </c>
    </row>
    <row r="98" spans="1:14" x14ac:dyDescent="0.35">
      <c r="A98" s="1">
        <v>45657</v>
      </c>
      <c r="B98" t="s">
        <v>14</v>
      </c>
      <c r="C98" t="s">
        <v>15</v>
      </c>
      <c r="D98" t="s">
        <v>81</v>
      </c>
      <c r="E98">
        <v>1</v>
      </c>
      <c r="F98" t="s">
        <v>107</v>
      </c>
      <c r="H98" t="s">
        <v>108</v>
      </c>
      <c r="I98" t="str">
        <f>IF(ISBLANK(H98),"",INDEX(Sheet1!$F$2:$F$936,MATCH(H98,Sheet1!$C$2:$C$936,0)))</f>
        <v>Ireland</v>
      </c>
      <c r="J98">
        <v>22623</v>
      </c>
      <c r="M98">
        <v>3497432.0019999999</v>
      </c>
      <c r="N98">
        <v>5.0000000000000001E-4</v>
      </c>
    </row>
    <row r="99" spans="1:14" x14ac:dyDescent="0.35">
      <c r="A99" s="1">
        <v>45657</v>
      </c>
      <c r="B99" t="s">
        <v>14</v>
      </c>
      <c r="C99" t="s">
        <v>15</v>
      </c>
      <c r="D99" t="s">
        <v>81</v>
      </c>
      <c r="E99">
        <v>1</v>
      </c>
      <c r="F99" t="s">
        <v>109</v>
      </c>
      <c r="H99">
        <v>2026361</v>
      </c>
      <c r="I99" t="str">
        <f>IF(ISBLANK(H99),"",INDEX(Sheet1!$F$2:$F$936,MATCH(H99,Sheet1!$C$2:$C$936,0)))</f>
        <v>United States</v>
      </c>
      <c r="J99">
        <v>23920</v>
      </c>
      <c r="M99">
        <v>3997400.2650000001</v>
      </c>
      <c r="N99">
        <v>5.9999999999999995E-4</v>
      </c>
    </row>
    <row r="100" spans="1:14" x14ac:dyDescent="0.35">
      <c r="A100" s="1">
        <v>45657</v>
      </c>
      <c r="B100" t="s">
        <v>14</v>
      </c>
      <c r="C100" t="s">
        <v>15</v>
      </c>
      <c r="D100" t="s">
        <v>81</v>
      </c>
      <c r="E100">
        <v>1</v>
      </c>
      <c r="F100" t="s">
        <v>110</v>
      </c>
      <c r="H100" t="s">
        <v>111</v>
      </c>
      <c r="I100" t="str">
        <f>IF(ISBLANK(H100),"",INDEX(Sheet1!$F$2:$F$936,MATCH(H100,Sheet1!$C$2:$C$936,0)))</f>
        <v>Belgium</v>
      </c>
      <c r="J100">
        <v>9497</v>
      </c>
      <c r="M100">
        <v>741742.64619999996</v>
      </c>
      <c r="N100">
        <v>1E-4</v>
      </c>
    </row>
    <row r="101" spans="1:14" x14ac:dyDescent="0.35">
      <c r="A101" s="1">
        <v>45657</v>
      </c>
      <c r="B101" t="s">
        <v>14</v>
      </c>
      <c r="C101" t="s">
        <v>15</v>
      </c>
      <c r="D101" t="s">
        <v>81</v>
      </c>
      <c r="E101">
        <v>1</v>
      </c>
      <c r="F101" t="s">
        <v>112</v>
      </c>
      <c r="H101">
        <v>2520153</v>
      </c>
      <c r="I101" t="str">
        <f>IF(ISBLANK(H101),"",INDEX(Sheet1!$F$2:$F$936,MATCH(H101,Sheet1!$C$2:$C$936,0)))</f>
        <v>United States</v>
      </c>
      <c r="J101">
        <v>9448</v>
      </c>
      <c r="M101">
        <v>2050695.699</v>
      </c>
      <c r="N101">
        <v>2.9999999999999997E-4</v>
      </c>
    </row>
    <row r="102" spans="1:14" x14ac:dyDescent="0.35">
      <c r="A102" s="1">
        <v>45657</v>
      </c>
      <c r="B102" t="s">
        <v>14</v>
      </c>
      <c r="C102" t="s">
        <v>15</v>
      </c>
      <c r="D102" t="s">
        <v>81</v>
      </c>
      <c r="E102">
        <v>1</v>
      </c>
      <c r="F102" t="s">
        <v>113</v>
      </c>
      <c r="H102">
        <v>2009823</v>
      </c>
      <c r="I102" t="str">
        <f>IF(ISBLANK(H102),"",INDEX(Sheet1!$F$2:$F$936,MATCH(H102,Sheet1!$C$2:$C$936,0)))</f>
        <v>Canada</v>
      </c>
      <c r="J102">
        <v>28427</v>
      </c>
      <c r="M102">
        <v>3587305.3459999999</v>
      </c>
      <c r="N102">
        <v>5.0000000000000001E-4</v>
      </c>
    </row>
    <row r="103" spans="1:14" x14ac:dyDescent="0.35">
      <c r="A103" s="1">
        <v>45657</v>
      </c>
      <c r="B103" t="s">
        <v>14</v>
      </c>
      <c r="C103" t="s">
        <v>15</v>
      </c>
      <c r="D103" t="s">
        <v>81</v>
      </c>
      <c r="E103">
        <v>1</v>
      </c>
      <c r="F103" t="s">
        <v>114</v>
      </c>
      <c r="H103" t="s">
        <v>115</v>
      </c>
      <c r="I103" t="str">
        <f>IF(ISBLANK(H103),"",INDEX(Sheet1!$F$2:$F$936,MATCH(H103,Sheet1!$C$2:$C$936,0)))</f>
        <v>Hong Kong</v>
      </c>
      <c r="J103">
        <v>395436</v>
      </c>
      <c r="M103">
        <v>4628946.07</v>
      </c>
      <c r="N103">
        <v>5.9999999999999995E-4</v>
      </c>
    </row>
    <row r="104" spans="1:14" x14ac:dyDescent="0.35">
      <c r="A104" s="1">
        <v>45657</v>
      </c>
      <c r="B104" t="s">
        <v>14</v>
      </c>
      <c r="C104" t="s">
        <v>15</v>
      </c>
      <c r="D104" t="s">
        <v>81</v>
      </c>
      <c r="E104">
        <v>1</v>
      </c>
      <c r="F104" t="s">
        <v>116</v>
      </c>
      <c r="H104" t="s">
        <v>117</v>
      </c>
      <c r="I104" t="str">
        <f>IF(ISBLANK(H104),"",INDEX(Sheet1!$F$2:$F$936,MATCH(H104,Sheet1!$C$2:$C$936,0)))</f>
        <v>Ireland</v>
      </c>
      <c r="J104">
        <v>47839</v>
      </c>
      <c r="M104">
        <v>424841.77490000002</v>
      </c>
      <c r="N104">
        <v>1E-4</v>
      </c>
    </row>
    <row r="105" spans="1:14" x14ac:dyDescent="0.35">
      <c r="A105" s="1">
        <v>45657</v>
      </c>
      <c r="B105" t="s">
        <v>14</v>
      </c>
      <c r="C105" t="s">
        <v>15</v>
      </c>
      <c r="D105" t="s">
        <v>81</v>
      </c>
      <c r="E105">
        <v>1</v>
      </c>
      <c r="F105" t="s">
        <v>118</v>
      </c>
      <c r="H105" t="s">
        <v>119</v>
      </c>
      <c r="I105" t="str">
        <f>IF(ISBLANK(H105),"",INDEX(Sheet1!$F$2:$F$936,MATCH(H105,Sheet1!$C$2:$C$936,0)))</f>
        <v>Canada</v>
      </c>
      <c r="J105">
        <v>35225</v>
      </c>
      <c r="M105">
        <v>879778.34629999998</v>
      </c>
      <c r="N105">
        <v>1E-4</v>
      </c>
    </row>
    <row r="106" spans="1:14" x14ac:dyDescent="0.35">
      <c r="A106" s="1">
        <v>45657</v>
      </c>
      <c r="B106" t="s">
        <v>14</v>
      </c>
      <c r="C106" t="s">
        <v>15</v>
      </c>
      <c r="D106" t="s">
        <v>81</v>
      </c>
      <c r="E106">
        <v>1</v>
      </c>
      <c r="F106" t="s">
        <v>120</v>
      </c>
      <c r="H106">
        <v>4012250</v>
      </c>
      <c r="I106" t="str">
        <f>IF(ISBLANK(H106),"",INDEX(Sheet1!$F$2:$F$936,MATCH(H106,Sheet1!$C$2:$C$936,0)))</f>
        <v>Netherlands</v>
      </c>
      <c r="J106">
        <v>16060</v>
      </c>
      <c r="M106">
        <v>4153109.0819999999</v>
      </c>
      <c r="N106">
        <v>5.9999999999999995E-4</v>
      </c>
    </row>
    <row r="107" spans="1:14" x14ac:dyDescent="0.35">
      <c r="A107" s="1">
        <v>45657</v>
      </c>
      <c r="B107" t="s">
        <v>14</v>
      </c>
      <c r="C107" t="s">
        <v>15</v>
      </c>
      <c r="D107" t="s">
        <v>81</v>
      </c>
      <c r="E107">
        <v>1</v>
      </c>
      <c r="F107" t="s">
        <v>121</v>
      </c>
      <c r="H107" t="s">
        <v>122</v>
      </c>
      <c r="I107" t="str">
        <f>IF(ISBLANK(H107),"",INDEX(Sheet1!$F$2:$F$936,MATCH(H107,Sheet1!$C$2:$C$936,0)))</f>
        <v>TRY</v>
      </c>
      <c r="J107">
        <v>93852</v>
      </c>
      <c r="M107">
        <v>277996.49599999998</v>
      </c>
      <c r="N107">
        <v>0</v>
      </c>
    </row>
    <row r="108" spans="1:14" x14ac:dyDescent="0.35">
      <c r="A108" s="1">
        <v>45657</v>
      </c>
      <c r="B108" t="s">
        <v>14</v>
      </c>
      <c r="C108" t="s">
        <v>15</v>
      </c>
      <c r="D108" t="s">
        <v>81</v>
      </c>
      <c r="E108">
        <v>1</v>
      </c>
      <c r="F108" t="s">
        <v>123</v>
      </c>
      <c r="H108" t="s">
        <v>124</v>
      </c>
      <c r="I108" t="str">
        <f>IF(ISBLANK(H108),"",INDEX(Sheet1!$F$2:$F$936,MATCH(H108,Sheet1!$C$2:$C$936,0)))</f>
        <v>SAR</v>
      </c>
      <c r="J108">
        <v>8226</v>
      </c>
      <c r="M108">
        <v>334519.52870000002</v>
      </c>
      <c r="N108">
        <v>0</v>
      </c>
    </row>
    <row r="109" spans="1:14" x14ac:dyDescent="0.35">
      <c r="A109" s="1">
        <v>45657</v>
      </c>
      <c r="B109" t="s">
        <v>14</v>
      </c>
      <c r="C109" t="s">
        <v>15</v>
      </c>
      <c r="D109" t="s">
        <v>81</v>
      </c>
      <c r="E109">
        <v>1</v>
      </c>
      <c r="F109" t="s">
        <v>125</v>
      </c>
      <c r="H109" t="s">
        <v>126</v>
      </c>
      <c r="I109" t="str">
        <f>IF(ISBLANK(H109),"",INDEX(Sheet1!$F$2:$F$936,MATCH(H109,Sheet1!$C$2:$C$936,0)))</f>
        <v>UAE</v>
      </c>
      <c r="J109">
        <v>130227</v>
      </c>
      <c r="M109">
        <v>439785.3529</v>
      </c>
      <c r="N109">
        <v>1E-4</v>
      </c>
    </row>
    <row r="110" spans="1:14" x14ac:dyDescent="0.35">
      <c r="A110" s="1">
        <v>45657</v>
      </c>
      <c r="B110" t="s">
        <v>14</v>
      </c>
      <c r="C110" t="s">
        <v>15</v>
      </c>
      <c r="D110" t="s">
        <v>81</v>
      </c>
      <c r="E110">
        <v>1</v>
      </c>
      <c r="F110" t="s">
        <v>127</v>
      </c>
      <c r="H110" t="s">
        <v>128</v>
      </c>
      <c r="I110" t="str">
        <f>IF(ISBLANK(H110),"",INDEX(Sheet1!$F$2:$F$936,MATCH(H110,Sheet1!$C$2:$C$936,0)))</f>
        <v>China</v>
      </c>
      <c r="J110">
        <v>13932</v>
      </c>
      <c r="M110">
        <v>1907465.182</v>
      </c>
      <c r="N110">
        <v>2.9999999999999997E-4</v>
      </c>
    </row>
    <row r="111" spans="1:14" x14ac:dyDescent="0.35">
      <c r="A111" s="1">
        <v>45657</v>
      </c>
      <c r="B111" t="s">
        <v>14</v>
      </c>
      <c r="C111" t="s">
        <v>15</v>
      </c>
      <c r="D111" t="s">
        <v>81</v>
      </c>
      <c r="E111">
        <v>1</v>
      </c>
      <c r="F111" t="s">
        <v>129</v>
      </c>
      <c r="H111" t="s">
        <v>130</v>
      </c>
      <c r="I111" t="str">
        <f>IF(ISBLANK(H111),"",INDEX(Sheet1!$F$2:$F$936,MATCH(H111,Sheet1!$C$2:$C$936,0)))</f>
        <v>China</v>
      </c>
      <c r="J111">
        <v>332187</v>
      </c>
      <c r="M111">
        <v>5691254.2130000005</v>
      </c>
      <c r="N111">
        <v>8.0000000000000004E-4</v>
      </c>
    </row>
    <row r="112" spans="1:14" x14ac:dyDescent="0.35">
      <c r="A112" s="1">
        <v>45657</v>
      </c>
      <c r="B112" t="s">
        <v>14</v>
      </c>
      <c r="C112" t="s">
        <v>15</v>
      </c>
      <c r="D112" t="s">
        <v>81</v>
      </c>
      <c r="E112">
        <v>1</v>
      </c>
      <c r="F112" t="s">
        <v>131</v>
      </c>
      <c r="H112" t="s">
        <v>132</v>
      </c>
      <c r="I112" t="str">
        <f>IF(ISBLANK(H112),"",INDEX(Sheet1!$F$2:$F$936,MATCH(H112,Sheet1!$C$2:$C$936,0)))</f>
        <v>USD</v>
      </c>
      <c r="J112">
        <v>948</v>
      </c>
      <c r="M112">
        <v>200247.80910000001</v>
      </c>
      <c r="N112">
        <v>0</v>
      </c>
    </row>
    <row r="113" spans="1:14" x14ac:dyDescent="0.35">
      <c r="A113" s="1">
        <v>45657</v>
      </c>
      <c r="B113" t="s">
        <v>14</v>
      </c>
      <c r="C113" t="s">
        <v>15</v>
      </c>
      <c r="D113" t="s">
        <v>81</v>
      </c>
      <c r="E113">
        <v>1</v>
      </c>
      <c r="F113" t="s">
        <v>133</v>
      </c>
      <c r="H113">
        <v>5231485</v>
      </c>
      <c r="I113" t="str">
        <f>IF(ISBLANK(H113),"",INDEX(Sheet1!$F$2:$F$936,MATCH(H113,Sheet1!$C$2:$C$936,0)))</f>
        <v>Germany</v>
      </c>
      <c r="J113">
        <v>7111</v>
      </c>
      <c r="M113">
        <v>3515308.3689999999</v>
      </c>
      <c r="N113">
        <v>5.0000000000000001E-4</v>
      </c>
    </row>
    <row r="114" spans="1:14" x14ac:dyDescent="0.35">
      <c r="A114" s="1">
        <v>45657</v>
      </c>
      <c r="B114" t="s">
        <v>14</v>
      </c>
      <c r="C114" t="s">
        <v>15</v>
      </c>
      <c r="D114" t="s">
        <v>81</v>
      </c>
      <c r="E114">
        <v>1</v>
      </c>
      <c r="F114" t="s">
        <v>134</v>
      </c>
      <c r="H114" t="s">
        <v>135</v>
      </c>
      <c r="I114" t="str">
        <f>IF(ISBLANK(H114),"",INDEX(Sheet1!$F$2:$F$936,MATCH(H114,Sheet1!$C$2:$C$936,0)))</f>
        <v>United States</v>
      </c>
      <c r="J114">
        <v>84657</v>
      </c>
      <c r="M114">
        <v>25885995.149999999</v>
      </c>
      <c r="N114">
        <v>3.5999999999999999E-3</v>
      </c>
    </row>
    <row r="115" spans="1:14" x14ac:dyDescent="0.35">
      <c r="A115" s="1">
        <v>45657</v>
      </c>
      <c r="B115" t="s">
        <v>14</v>
      </c>
      <c r="C115" t="s">
        <v>15</v>
      </c>
      <c r="D115" t="s">
        <v>81</v>
      </c>
      <c r="E115">
        <v>1</v>
      </c>
      <c r="F115" t="s">
        <v>134</v>
      </c>
      <c r="H115" t="s">
        <v>136</v>
      </c>
      <c r="I115" t="str">
        <f>IF(ISBLANK(H115),"",INDEX(Sheet1!$F$2:$F$936,MATCH(H115,Sheet1!$C$2:$C$936,0)))</f>
        <v>United States</v>
      </c>
      <c r="J115">
        <v>156746</v>
      </c>
      <c r="M115">
        <v>48209806.950000003</v>
      </c>
      <c r="N115">
        <v>6.7000000000000002E-3</v>
      </c>
    </row>
    <row r="116" spans="1:14" x14ac:dyDescent="0.35">
      <c r="A116" s="1">
        <v>45657</v>
      </c>
      <c r="B116" t="s">
        <v>14</v>
      </c>
      <c r="C116" t="s">
        <v>15</v>
      </c>
      <c r="D116" t="s">
        <v>81</v>
      </c>
      <c r="E116">
        <v>1</v>
      </c>
      <c r="F116" t="s">
        <v>137</v>
      </c>
      <c r="H116" t="s">
        <v>138</v>
      </c>
      <c r="I116" t="str">
        <f>IF(ISBLANK(H116),"",INDEX(Sheet1!$F$2:$F$936,MATCH(H116,Sheet1!$C$2:$C$936,0)))</f>
        <v>Australia</v>
      </c>
      <c r="J116">
        <v>184094</v>
      </c>
      <c r="M116">
        <v>2776144.0460000001</v>
      </c>
      <c r="N116">
        <v>4.0000000000000002E-4</v>
      </c>
    </row>
    <row r="117" spans="1:14" x14ac:dyDescent="0.35">
      <c r="A117" s="1">
        <v>45657</v>
      </c>
      <c r="B117" t="s">
        <v>14</v>
      </c>
      <c r="C117" t="s">
        <v>15</v>
      </c>
      <c r="D117" t="s">
        <v>81</v>
      </c>
      <c r="E117">
        <v>1</v>
      </c>
      <c r="F117" t="s">
        <v>139</v>
      </c>
      <c r="H117" t="s">
        <v>140</v>
      </c>
      <c r="I117" t="str">
        <f>IF(ISBLANK(H117),"",INDEX(Sheet1!$F$2:$F$936,MATCH(H117,Sheet1!$C$2:$C$936,0)))</f>
        <v>Spain</v>
      </c>
      <c r="J117">
        <v>19838</v>
      </c>
      <c r="M117">
        <v>2222920.6359999999</v>
      </c>
      <c r="N117">
        <v>2.9999999999999997E-4</v>
      </c>
    </row>
    <row r="118" spans="1:14" x14ac:dyDescent="0.35">
      <c r="A118" s="1">
        <v>45657</v>
      </c>
      <c r="B118" t="s">
        <v>14</v>
      </c>
      <c r="C118" t="s">
        <v>15</v>
      </c>
      <c r="D118" t="s">
        <v>81</v>
      </c>
      <c r="E118">
        <v>1</v>
      </c>
      <c r="F118" t="s">
        <v>141</v>
      </c>
      <c r="H118">
        <v>2000019</v>
      </c>
      <c r="I118" t="str">
        <f>IF(ISBLANK(H118),"",INDEX(Sheet1!$F$2:$F$936,MATCH(H118,Sheet1!$C$2:$C$936,0)))</f>
        <v>United States</v>
      </c>
      <c r="J118">
        <v>192878</v>
      </c>
      <c r="M118">
        <v>68328759.280000001</v>
      </c>
      <c r="N118">
        <v>9.4999999999999998E-3</v>
      </c>
    </row>
    <row r="119" spans="1:14" x14ac:dyDescent="0.35">
      <c r="A119" s="1">
        <v>45657</v>
      </c>
      <c r="B119" t="s">
        <v>14</v>
      </c>
      <c r="C119" t="s">
        <v>15</v>
      </c>
      <c r="D119" t="s">
        <v>81</v>
      </c>
      <c r="E119">
        <v>1</v>
      </c>
      <c r="F119" t="s">
        <v>142</v>
      </c>
      <c r="H119" t="s">
        <v>143</v>
      </c>
      <c r="I119" t="str">
        <f>IF(ISBLANK(H119),"",INDEX(Sheet1!$F$2:$F$936,MATCH(H119,Sheet1!$C$2:$C$936,0)))</f>
        <v>AUD</v>
      </c>
      <c r="J119">
        <v>244464</v>
      </c>
      <c r="M119">
        <v>3654739.3480000002</v>
      </c>
      <c r="N119">
        <v>5.0000000000000001E-4</v>
      </c>
    </row>
    <row r="120" spans="1:14" x14ac:dyDescent="0.35">
      <c r="A120" s="1">
        <v>45657</v>
      </c>
      <c r="B120" t="s">
        <v>14</v>
      </c>
      <c r="C120" t="s">
        <v>15</v>
      </c>
      <c r="D120" t="s">
        <v>81</v>
      </c>
      <c r="E120">
        <v>1</v>
      </c>
      <c r="F120" t="s">
        <v>144</v>
      </c>
      <c r="H120" t="s">
        <v>145</v>
      </c>
      <c r="I120" t="str">
        <f>IF(ISBLANK(H120),"",INDEX(Sheet1!$F$2:$F$936,MATCH(H120,Sheet1!$C$2:$C$936,0)))</f>
        <v>United Kingdom</v>
      </c>
      <c r="J120">
        <v>174867</v>
      </c>
      <c r="M120">
        <v>2654841.4879999999</v>
      </c>
      <c r="N120">
        <v>4.0000000000000002E-4</v>
      </c>
    </row>
    <row r="121" spans="1:14" x14ac:dyDescent="0.35">
      <c r="A121" s="1">
        <v>45657</v>
      </c>
      <c r="B121" t="s">
        <v>14</v>
      </c>
      <c r="C121" t="s">
        <v>15</v>
      </c>
      <c r="D121" t="s">
        <v>81</v>
      </c>
      <c r="E121">
        <v>1</v>
      </c>
      <c r="F121" t="s">
        <v>146</v>
      </c>
      <c r="H121">
        <v>2026082</v>
      </c>
      <c r="I121" t="str">
        <f>IF(ISBLANK(H121),"",INDEX(Sheet1!$F$2:$F$936,MATCH(H121,Sheet1!$C$2:$C$936,0)))</f>
        <v>United States</v>
      </c>
      <c r="J121">
        <v>1594</v>
      </c>
      <c r="M121">
        <v>764228.71360000002</v>
      </c>
      <c r="N121">
        <v>1E-4</v>
      </c>
    </row>
    <row r="122" spans="1:14" x14ac:dyDescent="0.35">
      <c r="A122" s="1">
        <v>45657</v>
      </c>
      <c r="B122" t="s">
        <v>14</v>
      </c>
      <c r="C122" t="s">
        <v>15</v>
      </c>
      <c r="D122" t="s">
        <v>81</v>
      </c>
      <c r="E122">
        <v>1</v>
      </c>
      <c r="F122" t="s">
        <v>147</v>
      </c>
      <c r="H122">
        <v>2027342</v>
      </c>
      <c r="I122" t="str">
        <f>IF(ISBLANK(H122),"",INDEX(Sheet1!$F$2:$F$936,MATCH(H122,Sheet1!$C$2:$C$936,0)))</f>
        <v>United States</v>
      </c>
      <c r="J122">
        <v>10458</v>
      </c>
      <c r="M122">
        <v>1229681.49</v>
      </c>
      <c r="N122">
        <v>2.0000000000000001E-4</v>
      </c>
    </row>
    <row r="123" spans="1:14" x14ac:dyDescent="0.35">
      <c r="A123" s="1">
        <v>45657</v>
      </c>
      <c r="B123" t="s">
        <v>14</v>
      </c>
      <c r="C123" t="s">
        <v>15</v>
      </c>
      <c r="D123" t="s">
        <v>81</v>
      </c>
      <c r="E123">
        <v>1</v>
      </c>
      <c r="F123" t="s">
        <v>148</v>
      </c>
      <c r="H123" t="s">
        <v>149</v>
      </c>
      <c r="I123" t="str">
        <f>IF(ISBLANK(H123),"",INDEX(Sheet1!$F$2:$F$936,MATCH(H123,Sheet1!$C$2:$C$936,0)))</f>
        <v>SA</v>
      </c>
      <c r="J123">
        <v>585558</v>
      </c>
      <c r="M123">
        <v>571363.66740000003</v>
      </c>
      <c r="N123">
        <v>1E-4</v>
      </c>
    </row>
    <row r="124" spans="1:14" x14ac:dyDescent="0.35">
      <c r="A124" s="1">
        <v>45657</v>
      </c>
      <c r="B124" t="s">
        <v>14</v>
      </c>
      <c r="C124" t="s">
        <v>15</v>
      </c>
      <c r="D124" t="s">
        <v>81</v>
      </c>
      <c r="E124">
        <v>1</v>
      </c>
      <c r="F124" t="s">
        <v>150</v>
      </c>
      <c r="H124" t="s">
        <v>151</v>
      </c>
      <c r="I124" t="str">
        <f>IF(ISBLANK(H124),"",INDEX(Sheet1!$F$2:$F$936,MATCH(H124,Sheet1!$C$2:$C$936,0)))</f>
        <v>United States</v>
      </c>
      <c r="J124">
        <v>4707</v>
      </c>
      <c r="M124">
        <v>4049679.517</v>
      </c>
      <c r="N124">
        <v>5.9999999999999995E-4</v>
      </c>
    </row>
    <row r="125" spans="1:14" x14ac:dyDescent="0.35">
      <c r="A125" s="1">
        <v>45657</v>
      </c>
      <c r="B125" t="s">
        <v>14</v>
      </c>
      <c r="C125" t="s">
        <v>15</v>
      </c>
      <c r="D125" t="s">
        <v>81</v>
      </c>
      <c r="E125">
        <v>1</v>
      </c>
      <c r="F125" t="s">
        <v>152</v>
      </c>
      <c r="H125">
        <v>2023607</v>
      </c>
      <c r="I125" t="str">
        <f>IF(ISBLANK(H125),"",INDEX(Sheet1!$F$2:$F$936,MATCH(H125,Sheet1!$C$2:$C$936,0)))</f>
        <v>United States</v>
      </c>
      <c r="J125">
        <v>9972</v>
      </c>
      <c r="M125">
        <v>4197577.2659999998</v>
      </c>
      <c r="N125">
        <v>5.9999999999999995E-4</v>
      </c>
    </row>
    <row r="126" spans="1:14" x14ac:dyDescent="0.35">
      <c r="A126" s="1">
        <v>45657</v>
      </c>
      <c r="B126" t="s">
        <v>14</v>
      </c>
      <c r="C126" t="s">
        <v>15</v>
      </c>
      <c r="D126" t="s">
        <v>81</v>
      </c>
      <c r="E126">
        <v>1</v>
      </c>
      <c r="F126" t="s">
        <v>153</v>
      </c>
      <c r="H126" t="s">
        <v>154</v>
      </c>
      <c r="I126" t="str">
        <f>IF(ISBLANK(H126),"",INDEX(Sheet1!$F$2:$F$936,MATCH(H126,Sheet1!$C$2:$C$936,0)))</f>
        <v>AUD</v>
      </c>
      <c r="J126">
        <v>759854</v>
      </c>
      <c r="M126">
        <v>8054453.9989999998</v>
      </c>
      <c r="N126">
        <v>1.1000000000000001E-3</v>
      </c>
    </row>
    <row r="127" spans="1:14" x14ac:dyDescent="0.35">
      <c r="A127" s="1">
        <v>45657</v>
      </c>
      <c r="B127" t="s">
        <v>14</v>
      </c>
      <c r="C127" t="s">
        <v>15</v>
      </c>
      <c r="D127" t="s">
        <v>81</v>
      </c>
      <c r="E127">
        <v>1</v>
      </c>
      <c r="F127" t="s">
        <v>155</v>
      </c>
      <c r="H127">
        <v>6709958</v>
      </c>
      <c r="I127" t="str">
        <f>IF(ISBLANK(H127),"",INDEX(Sheet1!$F$2:$F$936,MATCH(H127,Sheet1!$C$2:$C$936,0)))</f>
        <v>Australia</v>
      </c>
      <c r="J127">
        <v>1153079</v>
      </c>
      <c r="M127">
        <v>1827630.997</v>
      </c>
      <c r="N127">
        <v>2.9999999999999997E-4</v>
      </c>
    </row>
    <row r="128" spans="1:14" x14ac:dyDescent="0.35">
      <c r="A128" s="1">
        <v>45657</v>
      </c>
      <c r="B128" t="s">
        <v>14</v>
      </c>
      <c r="C128" t="s">
        <v>15</v>
      </c>
      <c r="D128" t="s">
        <v>81</v>
      </c>
      <c r="E128">
        <v>1</v>
      </c>
      <c r="F128" t="s">
        <v>156</v>
      </c>
      <c r="H128">
        <v>2145084</v>
      </c>
      <c r="I128" t="str">
        <f>IF(ISBLANK(H128),"",INDEX(Sheet1!$F$2:$F$936,MATCH(H128,Sheet1!$C$2:$C$936,0)))</f>
        <v>United States</v>
      </c>
      <c r="J128">
        <v>3106</v>
      </c>
      <c r="M128">
        <v>348550.37099999998</v>
      </c>
      <c r="N128">
        <v>0</v>
      </c>
    </row>
    <row r="129" spans="1:14" x14ac:dyDescent="0.35">
      <c r="A129" s="1">
        <v>45657</v>
      </c>
      <c r="B129" t="s">
        <v>14</v>
      </c>
      <c r="C129" t="s">
        <v>15</v>
      </c>
      <c r="D129" t="s">
        <v>81</v>
      </c>
      <c r="E129">
        <v>1</v>
      </c>
      <c r="F129" t="s">
        <v>157</v>
      </c>
      <c r="H129" t="s">
        <v>158</v>
      </c>
      <c r="I129" t="str">
        <f>IF(ISBLANK(H129),"",INDEX(Sheet1!$F$2:$F$936,MATCH(H129,Sheet1!$C$2:$C$936,0)))</f>
        <v>Australia</v>
      </c>
      <c r="J129">
        <v>712685</v>
      </c>
      <c r="M129">
        <v>20062075.73</v>
      </c>
      <c r="N129">
        <v>2.7999999999999904E-3</v>
      </c>
    </row>
    <row r="130" spans="1:14" x14ac:dyDescent="0.35">
      <c r="A130" s="1">
        <v>45657</v>
      </c>
      <c r="B130" t="s">
        <v>14</v>
      </c>
      <c r="C130" t="s">
        <v>15</v>
      </c>
      <c r="D130" t="s">
        <v>81</v>
      </c>
      <c r="E130">
        <v>1</v>
      </c>
      <c r="F130" t="s">
        <v>159</v>
      </c>
      <c r="H130">
        <v>2032067</v>
      </c>
      <c r="I130" t="str">
        <f>IF(ISBLANK(H130),"",INDEX(Sheet1!$F$2:$F$936,MATCH(H130,Sheet1!$C$2:$C$936,0)))</f>
        <v>United States</v>
      </c>
      <c r="J130">
        <v>11172</v>
      </c>
      <c r="M130">
        <v>3833509.11</v>
      </c>
      <c r="N130">
        <v>5.0000000000000001E-4</v>
      </c>
    </row>
    <row r="131" spans="1:14" x14ac:dyDescent="0.35">
      <c r="A131" s="1">
        <v>45657</v>
      </c>
      <c r="B131" t="s">
        <v>14</v>
      </c>
      <c r="C131" t="s">
        <v>15</v>
      </c>
      <c r="D131" t="s">
        <v>81</v>
      </c>
      <c r="E131">
        <v>1</v>
      </c>
      <c r="F131" t="s">
        <v>160</v>
      </c>
      <c r="H131" t="s">
        <v>161</v>
      </c>
      <c r="I131" t="str">
        <f>IF(ISBLANK(H131),"",INDEX(Sheet1!$F$2:$F$936,MATCH(H131,Sheet1!$C$2:$C$936,0)))</f>
        <v>AUD</v>
      </c>
      <c r="J131">
        <v>57048</v>
      </c>
      <c r="M131">
        <v>1928805.267</v>
      </c>
      <c r="N131">
        <v>2.9999999999999997E-4</v>
      </c>
    </row>
    <row r="132" spans="1:14" x14ac:dyDescent="0.35">
      <c r="A132" s="1">
        <v>45657</v>
      </c>
      <c r="B132" t="s">
        <v>14</v>
      </c>
      <c r="C132" t="s">
        <v>15</v>
      </c>
      <c r="D132" t="s">
        <v>81</v>
      </c>
      <c r="E132">
        <v>1</v>
      </c>
      <c r="F132" t="s">
        <v>162</v>
      </c>
      <c r="H132" t="s">
        <v>163</v>
      </c>
      <c r="I132" t="str">
        <f>IF(ISBLANK(H132),"",INDEX(Sheet1!$F$2:$F$936,MATCH(H132,Sheet1!$C$2:$C$936,0)))</f>
        <v>HKD</v>
      </c>
      <c r="J132">
        <v>215229</v>
      </c>
      <c r="M132">
        <v>3483837.0520000001</v>
      </c>
      <c r="N132">
        <v>5.0000000000000001E-4</v>
      </c>
    </row>
    <row r="133" spans="1:14" x14ac:dyDescent="0.35">
      <c r="A133" s="1">
        <v>45657</v>
      </c>
      <c r="B133" t="s">
        <v>14</v>
      </c>
      <c r="C133" t="s">
        <v>15</v>
      </c>
      <c r="D133" t="s">
        <v>81</v>
      </c>
      <c r="E133">
        <v>1</v>
      </c>
      <c r="F133" t="s">
        <v>164</v>
      </c>
      <c r="H133">
        <v>6065586</v>
      </c>
      <c r="I133" t="str">
        <f>IF(ISBLANK(H133),"",INDEX(Sheet1!$F$2:$F$936,MATCH(H133,Sheet1!$C$2:$C$936,0)))</f>
        <v>Australia</v>
      </c>
      <c r="J133">
        <v>1446192</v>
      </c>
      <c r="M133">
        <v>41274318.82</v>
      </c>
      <c r="N133">
        <v>5.6999999999999993E-3</v>
      </c>
    </row>
    <row r="134" spans="1:14" x14ac:dyDescent="0.35">
      <c r="A134" s="1">
        <v>45657</v>
      </c>
      <c r="B134" t="s">
        <v>14</v>
      </c>
      <c r="C134" t="s">
        <v>15</v>
      </c>
      <c r="D134" t="s">
        <v>81</v>
      </c>
      <c r="E134">
        <v>1</v>
      </c>
      <c r="F134" t="s">
        <v>165</v>
      </c>
      <c r="H134" t="s">
        <v>166</v>
      </c>
      <c r="I134" t="str">
        <f>IF(ISBLANK(H134),"",INDEX(Sheet1!$F$2:$F$936,MATCH(H134,Sheet1!$C$2:$C$936,0)))</f>
        <v>United States</v>
      </c>
      <c r="J134">
        <v>2987</v>
      </c>
      <c r="M134">
        <v>797214.42989999999</v>
      </c>
      <c r="N134">
        <v>1E-4</v>
      </c>
    </row>
    <row r="135" spans="1:14" x14ac:dyDescent="0.35">
      <c r="A135" s="1">
        <v>45657</v>
      </c>
      <c r="B135" t="s">
        <v>14</v>
      </c>
      <c r="C135" t="s">
        <v>15</v>
      </c>
      <c r="D135" t="s">
        <v>81</v>
      </c>
      <c r="E135">
        <v>1</v>
      </c>
      <c r="F135" t="s">
        <v>167</v>
      </c>
      <c r="H135">
        <v>6273583</v>
      </c>
      <c r="I135" t="str">
        <f>IF(ISBLANK(H135),"",INDEX(Sheet1!$F$2:$F$936,MATCH(H135,Sheet1!$C$2:$C$936,0)))</f>
        <v>INR</v>
      </c>
      <c r="J135">
        <v>23551</v>
      </c>
      <c r="M135">
        <v>3241526.3659999999</v>
      </c>
      <c r="N135">
        <v>4.0000000000000002E-4</v>
      </c>
    </row>
    <row r="136" spans="1:14" x14ac:dyDescent="0.35">
      <c r="A136" s="1">
        <v>45657</v>
      </c>
      <c r="B136" t="s">
        <v>14</v>
      </c>
      <c r="C136" t="s">
        <v>15</v>
      </c>
      <c r="D136" t="s">
        <v>81</v>
      </c>
      <c r="E136">
        <v>1</v>
      </c>
      <c r="F136" t="s">
        <v>168</v>
      </c>
      <c r="H136" t="s">
        <v>169</v>
      </c>
      <c r="I136" t="str">
        <f>IF(ISBLANK(H136),"",INDEX(Sheet1!$F$2:$F$936,MATCH(H136,Sheet1!$C$2:$C$936,0)))</f>
        <v>AUD</v>
      </c>
      <c r="J136">
        <v>388407</v>
      </c>
      <c r="M136">
        <v>1025393.61</v>
      </c>
      <c r="N136">
        <v>1E-4</v>
      </c>
    </row>
    <row r="137" spans="1:14" x14ac:dyDescent="0.35">
      <c r="A137" s="1">
        <v>45657</v>
      </c>
      <c r="B137" t="s">
        <v>14</v>
      </c>
      <c r="C137" t="s">
        <v>15</v>
      </c>
      <c r="D137" t="s">
        <v>81</v>
      </c>
      <c r="E137">
        <v>1</v>
      </c>
      <c r="F137" t="s">
        <v>170</v>
      </c>
      <c r="H137">
        <v>2046251</v>
      </c>
      <c r="I137" t="str">
        <f>IF(ISBLANK(H137),"",INDEX(Sheet1!$F$2:$F$936,MATCH(H137,Sheet1!$C$2:$C$936,0)))</f>
        <v>United States</v>
      </c>
      <c r="J137">
        <v>243452</v>
      </c>
      <c r="M137">
        <v>98454125.5</v>
      </c>
      <c r="N137">
        <v>1.35999999999999E-2</v>
      </c>
    </row>
    <row r="138" spans="1:14" x14ac:dyDescent="0.35">
      <c r="A138" s="1">
        <v>45657</v>
      </c>
      <c r="B138" t="s">
        <v>14</v>
      </c>
      <c r="C138" t="s">
        <v>15</v>
      </c>
      <c r="D138" t="s">
        <v>81</v>
      </c>
      <c r="E138">
        <v>1</v>
      </c>
      <c r="F138" t="s">
        <v>171</v>
      </c>
      <c r="H138">
        <v>2046552</v>
      </c>
      <c r="I138" t="str">
        <f>IF(ISBLANK(H138),"",INDEX(Sheet1!$F$2:$F$936,MATCH(H138,Sheet1!$C$2:$C$936,0)))</f>
        <v>United States</v>
      </c>
      <c r="J138">
        <v>19037</v>
      </c>
      <c r="M138">
        <v>5000377.3130000001</v>
      </c>
      <c r="N138">
        <v>6.9999999999999891E-4</v>
      </c>
    </row>
    <row r="139" spans="1:14" x14ac:dyDescent="0.35">
      <c r="A139" s="1">
        <v>45657</v>
      </c>
      <c r="B139" t="s">
        <v>14</v>
      </c>
      <c r="C139" t="s">
        <v>15</v>
      </c>
      <c r="D139" t="s">
        <v>81</v>
      </c>
      <c r="E139">
        <v>1</v>
      </c>
      <c r="F139" t="s">
        <v>172</v>
      </c>
      <c r="H139" t="s">
        <v>173</v>
      </c>
      <c r="I139" t="str">
        <f>IF(ISBLANK(H139),"",INDEX(Sheet1!$F$2:$F$936,MATCH(H139,Sheet1!$C$2:$C$936,0)))</f>
        <v>United States</v>
      </c>
      <c r="J139">
        <v>6065</v>
      </c>
      <c r="M139">
        <v>3172836.9819999998</v>
      </c>
      <c r="N139">
        <v>4.0000000000000002E-4</v>
      </c>
    </row>
    <row r="140" spans="1:14" x14ac:dyDescent="0.35">
      <c r="A140" s="1">
        <v>45657</v>
      </c>
      <c r="B140" t="s">
        <v>14</v>
      </c>
      <c r="C140" t="s">
        <v>15</v>
      </c>
      <c r="D140" t="s">
        <v>81</v>
      </c>
      <c r="E140">
        <v>1</v>
      </c>
      <c r="F140" t="s">
        <v>174</v>
      </c>
      <c r="H140" t="s">
        <v>175</v>
      </c>
      <c r="I140" t="str">
        <f>IF(ISBLANK(H140),"",INDEX(Sheet1!$F$2:$F$936,MATCH(H140,Sheet1!$C$2:$C$936,0)))</f>
        <v>SAR</v>
      </c>
      <c r="J140">
        <v>135752</v>
      </c>
      <c r="M140">
        <v>1230079.7520000001</v>
      </c>
      <c r="N140">
        <v>2.0000000000000001E-4</v>
      </c>
    </row>
    <row r="141" spans="1:14" x14ac:dyDescent="0.35">
      <c r="A141" s="1">
        <v>45657</v>
      </c>
      <c r="B141" t="s">
        <v>14</v>
      </c>
      <c r="C141" t="s">
        <v>15</v>
      </c>
      <c r="D141" t="s">
        <v>81</v>
      </c>
      <c r="E141">
        <v>1</v>
      </c>
      <c r="F141" t="s">
        <v>176</v>
      </c>
      <c r="H141" t="s">
        <v>177</v>
      </c>
      <c r="I141" t="str">
        <f>IF(ISBLANK(H141),"",INDEX(Sheet1!$F$2:$F$936,MATCH(H141,Sheet1!$C$2:$C$936,0)))</f>
        <v>Australia</v>
      </c>
      <c r="J141">
        <v>40189</v>
      </c>
      <c r="M141">
        <v>1632080.406</v>
      </c>
      <c r="N141">
        <v>2.0000000000000001E-4</v>
      </c>
    </row>
    <row r="142" spans="1:14" x14ac:dyDescent="0.35">
      <c r="A142" s="1">
        <v>45657</v>
      </c>
      <c r="B142" t="s">
        <v>14</v>
      </c>
      <c r="C142" t="s">
        <v>15</v>
      </c>
      <c r="D142" t="s">
        <v>81</v>
      </c>
      <c r="E142">
        <v>1</v>
      </c>
      <c r="F142" t="s">
        <v>178</v>
      </c>
      <c r="H142">
        <v>2823885</v>
      </c>
      <c r="I142" t="str">
        <f>IF(ISBLANK(H142),"",INDEX(Sheet1!$F$2:$F$936,MATCH(H142,Sheet1!$C$2:$C$936,0)))</f>
        <v>MXN</v>
      </c>
      <c r="J142">
        <v>33169</v>
      </c>
      <c r="M142">
        <v>443717.55379999999</v>
      </c>
      <c r="N142">
        <v>1E-4</v>
      </c>
    </row>
    <row r="143" spans="1:14" x14ac:dyDescent="0.35">
      <c r="A143" s="1">
        <v>45657</v>
      </c>
      <c r="B143" t="s">
        <v>14</v>
      </c>
      <c r="C143" t="s">
        <v>15</v>
      </c>
      <c r="D143" t="s">
        <v>81</v>
      </c>
      <c r="E143">
        <v>1</v>
      </c>
      <c r="F143" t="s">
        <v>179</v>
      </c>
      <c r="H143">
        <v>6253983</v>
      </c>
      <c r="I143" t="str">
        <f>IF(ISBLANK(H143),"",INDEX(Sheet1!$F$2:$F$936,MATCH(H143,Sheet1!$C$2:$C$936,0)))</f>
        <v>Australia</v>
      </c>
      <c r="J143">
        <v>657540</v>
      </c>
      <c r="M143">
        <v>44949411.979999997</v>
      </c>
      <c r="N143">
        <v>6.1999999999999998E-3</v>
      </c>
    </row>
    <row r="144" spans="1:14" x14ac:dyDescent="0.35">
      <c r="A144" s="1">
        <v>45657</v>
      </c>
      <c r="B144" t="s">
        <v>14</v>
      </c>
      <c r="C144" t="s">
        <v>15</v>
      </c>
      <c r="D144" t="s">
        <v>81</v>
      </c>
      <c r="E144">
        <v>1</v>
      </c>
      <c r="F144" t="s">
        <v>180</v>
      </c>
      <c r="H144">
        <v>6054603</v>
      </c>
      <c r="I144" t="str">
        <f>IF(ISBLANK(H144),"",INDEX(Sheet1!$F$2:$F$936,MATCH(H144,Sheet1!$C$2:$C$936,0)))</f>
        <v>Japan</v>
      </c>
      <c r="J144">
        <v>235775</v>
      </c>
      <c r="M144">
        <v>2641106.8820000002</v>
      </c>
      <c r="N144">
        <v>4.0000000000000002E-4</v>
      </c>
    </row>
    <row r="145" spans="1:14" x14ac:dyDescent="0.35">
      <c r="A145" s="1">
        <v>45657</v>
      </c>
      <c r="B145" t="s">
        <v>14</v>
      </c>
      <c r="C145" t="s">
        <v>15</v>
      </c>
      <c r="D145" t="s">
        <v>81</v>
      </c>
      <c r="E145">
        <v>1</v>
      </c>
      <c r="F145" t="s">
        <v>181</v>
      </c>
      <c r="H145" t="s">
        <v>182</v>
      </c>
      <c r="I145" t="str">
        <f>IF(ISBLANK(H145),"",INDEX(Sheet1!$F$2:$F$936,MATCH(H145,Sheet1!$C$2:$C$936,0)))</f>
        <v>INR</v>
      </c>
      <c r="J145">
        <v>15601</v>
      </c>
      <c r="M145">
        <v>671923.20160000003</v>
      </c>
      <c r="N145">
        <v>1E-4</v>
      </c>
    </row>
    <row r="146" spans="1:14" x14ac:dyDescent="0.35">
      <c r="A146" s="1">
        <v>45657</v>
      </c>
      <c r="B146" t="s">
        <v>14</v>
      </c>
      <c r="C146" t="s">
        <v>15</v>
      </c>
      <c r="D146" t="s">
        <v>81</v>
      </c>
      <c r="E146">
        <v>1</v>
      </c>
      <c r="F146" t="s">
        <v>183</v>
      </c>
      <c r="H146">
        <v>6057378</v>
      </c>
      <c r="I146" t="str">
        <f>IF(ISBLANK(H146),"",INDEX(Sheet1!$F$2:$F$936,MATCH(H146,Sheet1!$C$2:$C$936,0)))</f>
        <v>Japan</v>
      </c>
      <c r="J146">
        <v>38615</v>
      </c>
      <c r="M146">
        <v>1234188.6499999999</v>
      </c>
      <c r="N146">
        <v>2.0000000000000001E-4</v>
      </c>
    </row>
    <row r="147" spans="1:14" x14ac:dyDescent="0.35">
      <c r="A147" s="1">
        <v>45657</v>
      </c>
      <c r="B147" t="s">
        <v>14</v>
      </c>
      <c r="C147" t="s">
        <v>15</v>
      </c>
      <c r="D147" t="s">
        <v>81</v>
      </c>
      <c r="E147">
        <v>1</v>
      </c>
      <c r="F147" t="s">
        <v>184</v>
      </c>
      <c r="H147" t="s">
        <v>185</v>
      </c>
      <c r="I147" t="str">
        <f>IF(ISBLANK(H147),"",INDEX(Sheet1!$F$2:$F$936,MATCH(H147,Sheet1!$C$2:$C$936,0)))</f>
        <v>Netherlands</v>
      </c>
      <c r="J147">
        <v>6834</v>
      </c>
      <c r="M147">
        <v>7749752.585</v>
      </c>
      <c r="N147">
        <v>1.1000000000000001E-3</v>
      </c>
    </row>
    <row r="148" spans="1:14" x14ac:dyDescent="0.35">
      <c r="A148" s="1">
        <v>45657</v>
      </c>
      <c r="B148" t="s">
        <v>14</v>
      </c>
      <c r="C148" t="s">
        <v>15</v>
      </c>
      <c r="D148" t="s">
        <v>81</v>
      </c>
      <c r="E148">
        <v>1</v>
      </c>
      <c r="F148" t="s">
        <v>186</v>
      </c>
      <c r="H148" t="s">
        <v>187</v>
      </c>
      <c r="I148" t="str">
        <f>IF(ISBLANK(H148),"",INDEX(Sheet1!$F$2:$F$936,MATCH(H148,Sheet1!$C$2:$C$936,0)))</f>
        <v>Netherlands</v>
      </c>
      <c r="J148">
        <v>2004</v>
      </c>
      <c r="M148">
        <v>2241328.7549999999</v>
      </c>
      <c r="N148">
        <v>2.9999999999999997E-4</v>
      </c>
    </row>
    <row r="149" spans="1:14" x14ac:dyDescent="0.35">
      <c r="A149" s="1">
        <v>45657</v>
      </c>
      <c r="B149" t="s">
        <v>14</v>
      </c>
      <c r="C149" t="s">
        <v>15</v>
      </c>
      <c r="D149" t="s">
        <v>81</v>
      </c>
      <c r="E149">
        <v>1</v>
      </c>
      <c r="F149" t="s">
        <v>188</v>
      </c>
      <c r="H149">
        <v>6985383</v>
      </c>
      <c r="I149" t="str">
        <f>IF(ISBLANK(H149),"",INDEX(Sheet1!$F$2:$F$936,MATCH(H149,Sheet1!$C$2:$C$936,0)))</f>
        <v>Japan</v>
      </c>
      <c r="J149">
        <v>113804</v>
      </c>
      <c r="M149">
        <v>1794096.5009999999</v>
      </c>
      <c r="N149">
        <v>2.0000000000000001E-4</v>
      </c>
    </row>
    <row r="150" spans="1:14" x14ac:dyDescent="0.35">
      <c r="A150" s="1">
        <v>45657</v>
      </c>
      <c r="B150" t="s">
        <v>14</v>
      </c>
      <c r="C150" t="s">
        <v>15</v>
      </c>
      <c r="D150" t="s">
        <v>81</v>
      </c>
      <c r="E150">
        <v>1</v>
      </c>
      <c r="F150" t="s">
        <v>189</v>
      </c>
      <c r="H150">
        <v>2989044</v>
      </c>
      <c r="I150" t="str">
        <f>IF(ISBLANK(H150),"",INDEX(Sheet1!$F$2:$F$936,MATCH(H150,Sheet1!$C$2:$C$936,0)))</f>
        <v>United Kingdom</v>
      </c>
      <c r="J150">
        <v>41257</v>
      </c>
      <c r="M150">
        <v>4363935.426</v>
      </c>
      <c r="N150">
        <v>5.9999999999999995E-4</v>
      </c>
    </row>
    <row r="151" spans="1:14" x14ac:dyDescent="0.35">
      <c r="A151" s="1">
        <v>45657</v>
      </c>
      <c r="B151" t="s">
        <v>14</v>
      </c>
      <c r="C151" t="s">
        <v>15</v>
      </c>
      <c r="D151" t="s">
        <v>81</v>
      </c>
      <c r="E151">
        <v>1</v>
      </c>
      <c r="F151" t="s">
        <v>190</v>
      </c>
      <c r="H151">
        <v>989529</v>
      </c>
      <c r="I151" t="str">
        <f>IF(ISBLANK(H151),"",INDEX(Sheet1!$F$2:$F$936,MATCH(H151,Sheet1!$C$2:$C$936,0)))</f>
        <v>United Kingdom</v>
      </c>
      <c r="J151">
        <v>13945</v>
      </c>
      <c r="M151">
        <v>2951692.1570000001</v>
      </c>
      <c r="N151">
        <v>4.0000000000000002E-4</v>
      </c>
    </row>
    <row r="152" spans="1:14" x14ac:dyDescent="0.35">
      <c r="A152" s="1">
        <v>45657</v>
      </c>
      <c r="B152" t="s">
        <v>14</v>
      </c>
      <c r="C152" t="s">
        <v>15</v>
      </c>
      <c r="D152" t="s">
        <v>81</v>
      </c>
      <c r="E152">
        <v>1</v>
      </c>
      <c r="F152" t="s">
        <v>191</v>
      </c>
      <c r="H152">
        <v>6051046</v>
      </c>
      <c r="I152" t="str">
        <f>IF(ISBLANK(H152),"",INDEX(Sheet1!$F$2:$F$936,MATCH(H152,Sheet1!$C$2:$C$936,0)))</f>
        <v>Taiwan</v>
      </c>
      <c r="J152">
        <v>41998</v>
      </c>
      <c r="M152">
        <v>1274529.3259999999</v>
      </c>
      <c r="N152">
        <v>2.0000000000000001E-4</v>
      </c>
    </row>
    <row r="153" spans="1:14" x14ac:dyDescent="0.35">
      <c r="A153" s="1">
        <v>45657</v>
      </c>
      <c r="B153" t="s">
        <v>14</v>
      </c>
      <c r="C153" t="s">
        <v>15</v>
      </c>
      <c r="D153" t="s">
        <v>81</v>
      </c>
      <c r="E153">
        <v>1</v>
      </c>
      <c r="F153" t="s">
        <v>192</v>
      </c>
      <c r="H153">
        <v>6129222</v>
      </c>
      <c r="I153" t="str">
        <f>IF(ISBLANK(H153),"",INDEX(Sheet1!$F$2:$F$936,MATCH(H153,Sheet1!$C$2:$C$936,0)))</f>
        <v>Australia</v>
      </c>
      <c r="J153">
        <v>79996</v>
      </c>
      <c r="M153">
        <v>5206144.3320000004</v>
      </c>
      <c r="N153">
        <v>6.9999999999999891E-4</v>
      </c>
    </row>
    <row r="154" spans="1:14" x14ac:dyDescent="0.35">
      <c r="A154" s="1">
        <v>45657</v>
      </c>
      <c r="B154" t="s">
        <v>14</v>
      </c>
      <c r="C154" t="s">
        <v>15</v>
      </c>
      <c r="D154" t="s">
        <v>81</v>
      </c>
      <c r="E154">
        <v>1</v>
      </c>
      <c r="F154" t="s">
        <v>193</v>
      </c>
      <c r="H154">
        <v>2831811</v>
      </c>
      <c r="I154" t="str">
        <f>IF(ISBLANK(H154),"",INDEX(Sheet1!$F$2:$F$936,MATCH(H154,Sheet1!$C$2:$C$936,0)))</f>
        <v>United States</v>
      </c>
      <c r="J154">
        <v>158592</v>
      </c>
      <c r="M154">
        <v>5834958.4550000001</v>
      </c>
      <c r="N154">
        <v>8.0000000000000004E-4</v>
      </c>
    </row>
    <row r="155" spans="1:14" x14ac:dyDescent="0.35">
      <c r="A155" s="1">
        <v>45657</v>
      </c>
      <c r="B155" t="s">
        <v>14</v>
      </c>
      <c r="C155" t="s">
        <v>15</v>
      </c>
      <c r="D155" t="s">
        <v>81</v>
      </c>
      <c r="E155">
        <v>1</v>
      </c>
      <c r="F155" t="s">
        <v>194</v>
      </c>
      <c r="H155" t="s">
        <v>195</v>
      </c>
      <c r="I155" t="str">
        <f>IF(ISBLANK(H155),"",INDEX(Sheet1!$F$2:$F$936,MATCH(H155,Sheet1!$C$2:$C$936,0)))</f>
        <v>United States</v>
      </c>
      <c r="J155">
        <v>13217</v>
      </c>
      <c r="M155">
        <v>5192245.0120000001</v>
      </c>
      <c r="N155">
        <v>6.9999999999999891E-4</v>
      </c>
    </row>
    <row r="156" spans="1:14" x14ac:dyDescent="0.35">
      <c r="A156" s="1">
        <v>45657</v>
      </c>
      <c r="B156" t="s">
        <v>14</v>
      </c>
      <c r="C156" t="s">
        <v>15</v>
      </c>
      <c r="D156" t="s">
        <v>81</v>
      </c>
      <c r="E156">
        <v>1</v>
      </c>
      <c r="F156" t="s">
        <v>196</v>
      </c>
      <c r="H156" t="s">
        <v>197</v>
      </c>
      <c r="I156" t="str">
        <f>IF(ISBLANK(H156),"",INDEX(Sheet1!$F$2:$F$936,MATCH(H156,Sheet1!$C$2:$C$936,0)))</f>
        <v>AUD</v>
      </c>
      <c r="J156">
        <v>21766</v>
      </c>
      <c r="M156">
        <v>679111.47739999997</v>
      </c>
      <c r="N156">
        <v>1E-4</v>
      </c>
    </row>
    <row r="157" spans="1:14" x14ac:dyDescent="0.35">
      <c r="A157" s="1">
        <v>45657</v>
      </c>
      <c r="B157" t="s">
        <v>14</v>
      </c>
      <c r="C157" t="s">
        <v>15</v>
      </c>
      <c r="D157" t="s">
        <v>81</v>
      </c>
      <c r="E157">
        <v>1</v>
      </c>
      <c r="F157" t="s">
        <v>198</v>
      </c>
      <c r="H157" t="s">
        <v>199</v>
      </c>
      <c r="I157" t="str">
        <f>IF(ISBLANK(H157),"",INDEX(Sheet1!$F$2:$F$936,MATCH(H157,Sheet1!$C$2:$C$936,0)))</f>
        <v>NZ</v>
      </c>
      <c r="J157">
        <v>535167</v>
      </c>
      <c r="M157">
        <v>4152895.77</v>
      </c>
      <c r="N157">
        <v>5.9999999999999995E-4</v>
      </c>
    </row>
    <row r="158" spans="1:14" x14ac:dyDescent="0.35">
      <c r="A158" s="1">
        <v>45657</v>
      </c>
      <c r="B158" t="s">
        <v>14</v>
      </c>
      <c r="C158" t="s">
        <v>15</v>
      </c>
      <c r="D158" t="s">
        <v>81</v>
      </c>
      <c r="E158">
        <v>1</v>
      </c>
      <c r="F158" t="s">
        <v>200</v>
      </c>
      <c r="H158" t="s">
        <v>201</v>
      </c>
      <c r="I158" t="str">
        <f>IF(ISBLANK(H158),"",INDEX(Sheet1!$F$2:$F$936,MATCH(H158,Sheet1!$C$2:$C$936,0)))</f>
        <v>AUD</v>
      </c>
      <c r="J158">
        <v>2320882</v>
      </c>
      <c r="M158">
        <v>394549.93489999999</v>
      </c>
      <c r="N158">
        <v>1E-4</v>
      </c>
    </row>
    <row r="159" spans="1:14" x14ac:dyDescent="0.35">
      <c r="A159" s="1">
        <v>45657</v>
      </c>
      <c r="B159" t="s">
        <v>14</v>
      </c>
      <c r="C159" t="s">
        <v>15</v>
      </c>
      <c r="D159" t="s">
        <v>81</v>
      </c>
      <c r="E159">
        <v>1</v>
      </c>
      <c r="F159" t="s">
        <v>202</v>
      </c>
      <c r="H159" t="s">
        <v>203</v>
      </c>
      <c r="I159" t="str">
        <f>IF(ISBLANK(H159),"",INDEX(Sheet1!$F$2:$F$936,MATCH(H159,Sheet1!$C$2:$C$936,0)))</f>
        <v>Australia</v>
      </c>
      <c r="J159">
        <v>196150</v>
      </c>
      <c r="M159">
        <v>635527.28009999997</v>
      </c>
      <c r="N159">
        <v>1E-4</v>
      </c>
    </row>
    <row r="160" spans="1:14" x14ac:dyDescent="0.35">
      <c r="A160" s="1">
        <v>45657</v>
      </c>
      <c r="B160" t="s">
        <v>14</v>
      </c>
      <c r="C160" t="s">
        <v>15</v>
      </c>
      <c r="D160" t="s">
        <v>81</v>
      </c>
      <c r="E160">
        <v>1</v>
      </c>
      <c r="F160" t="s">
        <v>204</v>
      </c>
      <c r="H160" t="s">
        <v>205</v>
      </c>
      <c r="I160" t="str">
        <f>IF(ISBLANK(H160),"",INDEX(Sheet1!$F$2:$F$936,MATCH(H160,Sheet1!$C$2:$C$936,0)))</f>
        <v>AUD</v>
      </c>
      <c r="J160">
        <v>56062</v>
      </c>
      <c r="M160">
        <v>200700.42439999999</v>
      </c>
      <c r="N160">
        <v>0</v>
      </c>
    </row>
    <row r="161" spans="1:14" x14ac:dyDescent="0.35">
      <c r="A161" s="1">
        <v>45657</v>
      </c>
      <c r="B161" t="s">
        <v>14</v>
      </c>
      <c r="C161" t="s">
        <v>15</v>
      </c>
      <c r="D161" t="s">
        <v>81</v>
      </c>
      <c r="E161">
        <v>1</v>
      </c>
      <c r="F161" t="s">
        <v>206</v>
      </c>
      <c r="H161">
        <v>6137162</v>
      </c>
      <c r="I161" t="str">
        <f>IF(ISBLANK(H161),"",INDEX(Sheet1!$F$2:$F$936,MATCH(H161,Sheet1!$C$2:$C$936,0)))</f>
        <v>AUD</v>
      </c>
      <c r="J161">
        <v>406419</v>
      </c>
      <c r="M161">
        <v>1259898.602</v>
      </c>
      <c r="N161">
        <v>2.0000000000000001E-4</v>
      </c>
    </row>
    <row r="162" spans="1:14" x14ac:dyDescent="0.35">
      <c r="A162" s="1">
        <v>45657</v>
      </c>
      <c r="B162" t="s">
        <v>14</v>
      </c>
      <c r="C162" t="s">
        <v>15</v>
      </c>
      <c r="D162" t="s">
        <v>81</v>
      </c>
      <c r="E162">
        <v>1</v>
      </c>
      <c r="F162" t="s">
        <v>207</v>
      </c>
      <c r="H162">
        <v>6710615</v>
      </c>
      <c r="I162" t="str">
        <f>IF(ISBLANK(H162),"",INDEX(Sheet1!$F$2:$F$936,MATCH(H162,Sheet1!$C$2:$C$936,0)))</f>
        <v>AUD</v>
      </c>
      <c r="J162">
        <v>296199</v>
      </c>
      <c r="M162">
        <v>151061.53339999999</v>
      </c>
      <c r="N162">
        <v>0</v>
      </c>
    </row>
    <row r="163" spans="1:14" x14ac:dyDescent="0.35">
      <c r="A163" s="1">
        <v>45657</v>
      </c>
      <c r="B163" t="s">
        <v>14</v>
      </c>
      <c r="C163" t="s">
        <v>15</v>
      </c>
      <c r="D163" t="s">
        <v>81</v>
      </c>
      <c r="E163">
        <v>1</v>
      </c>
      <c r="F163" t="s">
        <v>208</v>
      </c>
      <c r="H163" t="s">
        <v>209</v>
      </c>
      <c r="I163" t="str">
        <f>IF(ISBLANK(H163),"",INDEX(Sheet1!$F$2:$F$936,MATCH(H163,Sheet1!$C$2:$C$936,0)))</f>
        <v>AUD</v>
      </c>
      <c r="J163">
        <v>501093</v>
      </c>
      <c r="M163">
        <v>1723761.128</v>
      </c>
      <c r="N163">
        <v>2.0000000000000001E-4</v>
      </c>
    </row>
    <row r="164" spans="1:14" x14ac:dyDescent="0.35">
      <c r="A164" s="1">
        <v>45657</v>
      </c>
      <c r="B164" t="s">
        <v>14</v>
      </c>
      <c r="C164" t="s">
        <v>15</v>
      </c>
      <c r="D164" t="s">
        <v>81</v>
      </c>
      <c r="E164">
        <v>1</v>
      </c>
      <c r="F164" t="s">
        <v>210</v>
      </c>
      <c r="H164" t="s">
        <v>211</v>
      </c>
      <c r="I164" t="str">
        <f>IF(ISBLANK(H164),"",INDEX(Sheet1!$F$2:$F$936,MATCH(H164,Sheet1!$C$2:$C$936,0)))</f>
        <v>AUD</v>
      </c>
      <c r="J164">
        <v>645760</v>
      </c>
      <c r="M164">
        <v>975097.19140000001</v>
      </c>
      <c r="N164">
        <v>1E-4</v>
      </c>
    </row>
    <row r="165" spans="1:14" x14ac:dyDescent="0.35">
      <c r="A165" s="1">
        <v>45657</v>
      </c>
      <c r="B165" t="s">
        <v>14</v>
      </c>
      <c r="C165" t="s">
        <v>15</v>
      </c>
      <c r="D165" t="s">
        <v>81</v>
      </c>
      <c r="E165">
        <v>1</v>
      </c>
      <c r="F165" t="s">
        <v>212</v>
      </c>
      <c r="H165" t="s">
        <v>213</v>
      </c>
      <c r="I165" t="str">
        <f>IF(ISBLANK(H165),"",INDEX(Sheet1!$F$2:$F$936,MATCH(H165,Sheet1!$C$2:$C$936,0)))</f>
        <v>AUD</v>
      </c>
      <c r="J165">
        <v>30901</v>
      </c>
      <c r="M165">
        <v>149868.33480000001</v>
      </c>
      <c r="N165">
        <v>0</v>
      </c>
    </row>
    <row r="166" spans="1:14" x14ac:dyDescent="0.35">
      <c r="A166" s="1">
        <v>45657</v>
      </c>
      <c r="B166" t="s">
        <v>14</v>
      </c>
      <c r="C166" t="s">
        <v>15</v>
      </c>
      <c r="D166" t="s">
        <v>81</v>
      </c>
      <c r="E166">
        <v>1</v>
      </c>
      <c r="F166" t="s">
        <v>214</v>
      </c>
      <c r="H166">
        <v>2065308</v>
      </c>
      <c r="I166" t="str">
        <f>IF(ISBLANK(H166),"",INDEX(Sheet1!$F$2:$F$936,MATCH(H166,Sheet1!$C$2:$C$936,0)))</f>
        <v>United States</v>
      </c>
      <c r="J166">
        <v>11793</v>
      </c>
      <c r="M166">
        <v>5573663.5350000001</v>
      </c>
      <c r="N166">
        <v>8.0000000000000004E-4</v>
      </c>
    </row>
    <row r="167" spans="1:14" x14ac:dyDescent="0.35">
      <c r="A167" s="1">
        <v>45657</v>
      </c>
      <c r="B167" t="s">
        <v>14</v>
      </c>
      <c r="C167" t="s">
        <v>15</v>
      </c>
      <c r="D167" t="s">
        <v>81</v>
      </c>
      <c r="E167">
        <v>1</v>
      </c>
      <c r="F167" t="s">
        <v>215</v>
      </c>
      <c r="H167" t="s">
        <v>216</v>
      </c>
      <c r="I167" t="str">
        <f>IF(ISBLANK(H167),"",INDEX(Sheet1!$F$2:$F$936,MATCH(H167,Sheet1!$C$2:$C$936,0)))</f>
        <v>AUD</v>
      </c>
      <c r="J167">
        <v>215333</v>
      </c>
      <c r="M167">
        <v>374679.39500000002</v>
      </c>
      <c r="N167">
        <v>1E-4</v>
      </c>
    </row>
    <row r="168" spans="1:14" x14ac:dyDescent="0.35">
      <c r="A168" s="1">
        <v>45657</v>
      </c>
      <c r="B168" t="s">
        <v>14</v>
      </c>
      <c r="C168" t="s">
        <v>15</v>
      </c>
      <c r="D168" t="s">
        <v>81</v>
      </c>
      <c r="E168">
        <v>1</v>
      </c>
      <c r="F168" t="s">
        <v>217</v>
      </c>
      <c r="H168" t="s">
        <v>218</v>
      </c>
      <c r="I168" t="str">
        <f>IF(ISBLANK(H168),"",INDEX(Sheet1!$F$2:$F$936,MATCH(H168,Sheet1!$C$2:$C$936,0)))</f>
        <v>INR</v>
      </c>
      <c r="J168">
        <v>15246</v>
      </c>
      <c r="M168">
        <v>1022507.915</v>
      </c>
      <c r="N168">
        <v>1E-4</v>
      </c>
    </row>
    <row r="169" spans="1:14" x14ac:dyDescent="0.35">
      <c r="A169" s="1">
        <v>45657</v>
      </c>
      <c r="B169" t="s">
        <v>14</v>
      </c>
      <c r="C169" t="s">
        <v>15</v>
      </c>
      <c r="D169" t="s">
        <v>81</v>
      </c>
      <c r="E169">
        <v>1</v>
      </c>
      <c r="F169" t="s">
        <v>219</v>
      </c>
      <c r="H169">
        <v>2066408</v>
      </c>
      <c r="I169" t="str">
        <f>IF(ISBLANK(H169),"",INDEX(Sheet1!$F$2:$F$936,MATCH(H169,Sheet1!$C$2:$C$936,0)))</f>
        <v>United States</v>
      </c>
      <c r="J169">
        <v>6590</v>
      </c>
      <c r="M169">
        <v>1990862.4439999999</v>
      </c>
      <c r="N169">
        <v>2.9999999999999997E-4</v>
      </c>
    </row>
    <row r="170" spans="1:14" x14ac:dyDescent="0.35">
      <c r="A170" s="1">
        <v>45657</v>
      </c>
      <c r="B170" t="s">
        <v>14</v>
      </c>
      <c r="C170" t="s">
        <v>15</v>
      </c>
      <c r="D170" t="s">
        <v>81</v>
      </c>
      <c r="E170">
        <v>1</v>
      </c>
      <c r="F170" t="s">
        <v>220</v>
      </c>
      <c r="H170" t="s">
        <v>221</v>
      </c>
      <c r="I170" t="str">
        <f>IF(ISBLANK(H170),"",INDEX(Sheet1!$F$2:$F$936,MATCH(H170,Sheet1!$C$2:$C$936,0)))</f>
        <v>United Kingdom</v>
      </c>
      <c r="J170">
        <v>297793</v>
      </c>
      <c r="M170">
        <v>2823293.0759999999</v>
      </c>
      <c r="N170">
        <v>4.0000000000000002E-4</v>
      </c>
    </row>
    <row r="171" spans="1:14" x14ac:dyDescent="0.35">
      <c r="A171" s="1">
        <v>45657</v>
      </c>
      <c r="B171" t="s">
        <v>14</v>
      </c>
      <c r="C171" t="s">
        <v>15</v>
      </c>
      <c r="D171" t="s">
        <v>81</v>
      </c>
      <c r="E171">
        <v>1</v>
      </c>
      <c r="F171" t="s">
        <v>222</v>
      </c>
      <c r="H171">
        <v>7088429</v>
      </c>
      <c r="I171" t="str">
        <f>IF(ISBLANK(H171),"",INDEX(Sheet1!$F$2:$F$936,MATCH(H171,Sheet1!$C$2:$C$936,0)))</f>
        <v>France</v>
      </c>
      <c r="J171">
        <v>70721</v>
      </c>
      <c r="M171">
        <v>4054544.148</v>
      </c>
      <c r="N171">
        <v>5.9999999999999995E-4</v>
      </c>
    </row>
    <row r="172" spans="1:14" x14ac:dyDescent="0.35">
      <c r="A172" s="1">
        <v>45657</v>
      </c>
      <c r="B172" t="s">
        <v>14</v>
      </c>
      <c r="C172" t="s">
        <v>15</v>
      </c>
      <c r="D172" t="s">
        <v>81</v>
      </c>
      <c r="E172">
        <v>1</v>
      </c>
      <c r="F172" t="s">
        <v>223</v>
      </c>
      <c r="H172" t="s">
        <v>224</v>
      </c>
      <c r="I172" t="str">
        <f>IF(ISBLANK(H172),"",INDEX(Sheet1!$F$2:$F$936,MATCH(H172,Sheet1!$C$2:$C$936,0)))</f>
        <v>Australia</v>
      </c>
      <c r="J172">
        <v>331567</v>
      </c>
      <c r="M172">
        <v>557031.96019999997</v>
      </c>
      <c r="N172">
        <v>1E-4</v>
      </c>
    </row>
    <row r="173" spans="1:14" x14ac:dyDescent="0.35">
      <c r="A173" s="1">
        <v>45657</v>
      </c>
      <c r="B173" t="s">
        <v>14</v>
      </c>
      <c r="C173" t="s">
        <v>15</v>
      </c>
      <c r="D173" t="s">
        <v>81</v>
      </c>
      <c r="E173">
        <v>1</v>
      </c>
      <c r="F173" t="s">
        <v>225</v>
      </c>
      <c r="H173">
        <v>263494</v>
      </c>
      <c r="I173" t="str">
        <f>IF(ISBLANK(H173),"",INDEX(Sheet1!$F$2:$F$936,MATCH(H173,Sheet1!$C$2:$C$936,0)))</f>
        <v>United Kingdom</v>
      </c>
      <c r="J173">
        <v>145319</v>
      </c>
      <c r="M173">
        <v>3374525.94</v>
      </c>
      <c r="N173">
        <v>5.0000000000000001E-4</v>
      </c>
    </row>
    <row r="174" spans="1:14" x14ac:dyDescent="0.35">
      <c r="A174" s="1">
        <v>45657</v>
      </c>
      <c r="B174" t="s">
        <v>14</v>
      </c>
      <c r="C174" t="s">
        <v>15</v>
      </c>
      <c r="D174" t="s">
        <v>81</v>
      </c>
      <c r="E174">
        <v>1</v>
      </c>
      <c r="F174" t="s">
        <v>226</v>
      </c>
      <c r="H174" t="s">
        <v>227</v>
      </c>
      <c r="I174" t="str">
        <f>IF(ISBLANK(H174),"",INDEX(Sheet1!$F$2:$F$936,MATCH(H174,Sheet1!$C$2:$C$936,0)))</f>
        <v>INR</v>
      </c>
      <c r="J174">
        <v>1466</v>
      </c>
      <c r="M174">
        <v>243422.24559999999</v>
      </c>
      <c r="N174">
        <v>0</v>
      </c>
    </row>
    <row r="175" spans="1:14" x14ac:dyDescent="0.35">
      <c r="A175" s="1">
        <v>45657</v>
      </c>
      <c r="B175" t="s">
        <v>14</v>
      </c>
      <c r="C175" t="s">
        <v>15</v>
      </c>
      <c r="D175" t="s">
        <v>81</v>
      </c>
      <c r="E175">
        <v>1</v>
      </c>
      <c r="F175" t="s">
        <v>228</v>
      </c>
      <c r="H175" t="s">
        <v>229</v>
      </c>
      <c r="I175" t="str">
        <f>IF(ISBLANK(H175),"",INDEX(Sheet1!$F$2:$F$936,MATCH(H175,Sheet1!$C$2:$C$936,0)))</f>
        <v>INR</v>
      </c>
      <c r="J175">
        <v>34019</v>
      </c>
      <c r="M175">
        <v>4385869.5020000003</v>
      </c>
      <c r="N175">
        <v>5.9999999999999995E-4</v>
      </c>
    </row>
    <row r="176" spans="1:14" x14ac:dyDescent="0.35">
      <c r="A176" s="1">
        <v>45657</v>
      </c>
      <c r="B176" t="s">
        <v>14</v>
      </c>
      <c r="C176" t="s">
        <v>15</v>
      </c>
      <c r="D176" t="s">
        <v>81</v>
      </c>
      <c r="E176">
        <v>1</v>
      </c>
      <c r="F176" t="s">
        <v>230</v>
      </c>
      <c r="H176" t="s">
        <v>231</v>
      </c>
      <c r="I176" t="str">
        <f>IF(ISBLANK(H176),"",INDEX(Sheet1!$F$2:$F$936,MATCH(H176,Sheet1!$C$2:$C$936,0)))</f>
        <v>United States</v>
      </c>
      <c r="J176">
        <v>57622</v>
      </c>
      <c r="M176">
        <v>3817573.9070000001</v>
      </c>
      <c r="N176">
        <v>5.0000000000000001E-4</v>
      </c>
    </row>
    <row r="177" spans="1:14" x14ac:dyDescent="0.35">
      <c r="A177" s="1">
        <v>45657</v>
      </c>
      <c r="B177" t="s">
        <v>14</v>
      </c>
      <c r="C177" t="s">
        <v>15</v>
      </c>
      <c r="D177" t="s">
        <v>81</v>
      </c>
      <c r="E177">
        <v>1</v>
      </c>
      <c r="F177" t="s">
        <v>232</v>
      </c>
      <c r="H177">
        <v>5501906</v>
      </c>
      <c r="I177" t="str">
        <f>IF(ISBLANK(H177),"",INDEX(Sheet1!$F$2:$F$936,MATCH(H177,Sheet1!$C$2:$C$936,0)))</f>
        <v>Spain</v>
      </c>
      <c r="J177">
        <v>40800</v>
      </c>
      <c r="M177">
        <v>644964.30850000004</v>
      </c>
      <c r="N177">
        <v>1E-4</v>
      </c>
    </row>
    <row r="178" spans="1:14" x14ac:dyDescent="0.35">
      <c r="A178" s="1">
        <v>45657</v>
      </c>
      <c r="B178" t="s">
        <v>14</v>
      </c>
      <c r="C178" t="s">
        <v>15</v>
      </c>
      <c r="D178" t="s">
        <v>81</v>
      </c>
      <c r="E178">
        <v>1</v>
      </c>
      <c r="F178" t="s">
        <v>233</v>
      </c>
      <c r="H178" t="s">
        <v>234</v>
      </c>
      <c r="I178" t="str">
        <f>IF(ISBLANK(H178),"",INDEX(Sheet1!$F$2:$F$936,MATCH(H178,Sheet1!$C$2:$C$936,0)))</f>
        <v>COP</v>
      </c>
      <c r="J178">
        <v>45428</v>
      </c>
      <c r="M178">
        <v>585898.30660000001</v>
      </c>
      <c r="N178">
        <v>1E-4</v>
      </c>
    </row>
    <row r="179" spans="1:14" x14ac:dyDescent="0.35">
      <c r="A179" s="1">
        <v>45657</v>
      </c>
      <c r="B179" t="s">
        <v>14</v>
      </c>
      <c r="C179" t="s">
        <v>15</v>
      </c>
      <c r="D179" t="s">
        <v>81</v>
      </c>
      <c r="E179">
        <v>1</v>
      </c>
      <c r="F179" t="s">
        <v>235</v>
      </c>
      <c r="H179" t="s">
        <v>236</v>
      </c>
      <c r="I179" t="str">
        <f>IF(ISBLANK(H179),"",INDEX(Sheet1!$F$2:$F$936,MATCH(H179,Sheet1!$C$2:$C$936,0)))</f>
        <v>Japan</v>
      </c>
      <c r="J179">
        <v>45265</v>
      </c>
      <c r="M179">
        <v>1757000.463</v>
      </c>
      <c r="N179">
        <v>2.0000000000000001E-4</v>
      </c>
    </row>
    <row r="180" spans="1:14" x14ac:dyDescent="0.35">
      <c r="A180" s="1">
        <v>45657</v>
      </c>
      <c r="B180" t="s">
        <v>14</v>
      </c>
      <c r="C180" t="s">
        <v>15</v>
      </c>
      <c r="D180" t="s">
        <v>81</v>
      </c>
      <c r="E180">
        <v>1</v>
      </c>
      <c r="F180" t="s">
        <v>237</v>
      </c>
      <c r="H180" t="s">
        <v>238</v>
      </c>
      <c r="I180" t="str">
        <f>IF(ISBLANK(H180),"",INDEX(Sheet1!$F$2:$F$936,MATCH(H180,Sheet1!$C$2:$C$936,0)))</f>
        <v>Indonesia</v>
      </c>
      <c r="J180">
        <v>2420514</v>
      </c>
      <c r="M180">
        <v>2356093.0520000001</v>
      </c>
      <c r="N180">
        <v>2.9999999999999997E-4</v>
      </c>
    </row>
    <row r="181" spans="1:14" x14ac:dyDescent="0.35">
      <c r="A181" s="1">
        <v>45657</v>
      </c>
      <c r="B181" t="s">
        <v>14</v>
      </c>
      <c r="C181" t="s">
        <v>15</v>
      </c>
      <c r="D181" t="s">
        <v>81</v>
      </c>
      <c r="E181">
        <v>1</v>
      </c>
      <c r="F181" t="s">
        <v>239</v>
      </c>
      <c r="H181">
        <v>6076425</v>
      </c>
      <c r="I181" t="str">
        <f>IF(ISBLANK(H181),"",INDEX(Sheet1!$F$2:$F$936,MATCH(H181,Sheet1!$C$2:$C$936,0)))</f>
        <v>Israel</v>
      </c>
      <c r="J181">
        <v>179088</v>
      </c>
      <c r="M181">
        <v>3440508.9840000002</v>
      </c>
      <c r="N181">
        <v>5.0000000000000001E-4</v>
      </c>
    </row>
    <row r="182" spans="1:14" x14ac:dyDescent="0.35">
      <c r="A182" s="1">
        <v>45657</v>
      </c>
      <c r="B182" t="s">
        <v>14</v>
      </c>
      <c r="C182" t="s">
        <v>15</v>
      </c>
      <c r="D182" t="s">
        <v>81</v>
      </c>
      <c r="E182">
        <v>1</v>
      </c>
      <c r="F182" t="s">
        <v>240</v>
      </c>
      <c r="H182">
        <v>6651048</v>
      </c>
      <c r="I182" t="str">
        <f>IF(ISBLANK(H182),"",INDEX(Sheet1!$F$2:$F$936,MATCH(H182,Sheet1!$C$2:$C$936,0)))</f>
        <v>Indonesia</v>
      </c>
      <c r="J182">
        <v>1825592</v>
      </c>
      <c r="M182">
        <v>1044219.437</v>
      </c>
      <c r="N182">
        <v>1E-4</v>
      </c>
    </row>
    <row r="183" spans="1:14" x14ac:dyDescent="0.35">
      <c r="A183" s="1">
        <v>45657</v>
      </c>
      <c r="B183" t="s">
        <v>14</v>
      </c>
      <c r="C183" t="s">
        <v>15</v>
      </c>
      <c r="D183" t="s">
        <v>81</v>
      </c>
      <c r="E183">
        <v>1</v>
      </c>
      <c r="F183" t="s">
        <v>241</v>
      </c>
      <c r="H183">
        <v>2295677</v>
      </c>
      <c r="I183" t="str">
        <f>IF(ISBLANK(H183),"",INDEX(Sheet1!$F$2:$F$936,MATCH(H183,Sheet1!$C$2:$C$936,0)))</f>
        <v>United States</v>
      </c>
      <c r="J183">
        <v>181341</v>
      </c>
      <c r="M183">
        <v>12878251.800000001</v>
      </c>
      <c r="N183">
        <v>1.8E-3</v>
      </c>
    </row>
    <row r="184" spans="1:14" x14ac:dyDescent="0.35">
      <c r="A184" s="1">
        <v>45657</v>
      </c>
      <c r="B184" t="s">
        <v>14</v>
      </c>
      <c r="C184" t="s">
        <v>15</v>
      </c>
      <c r="D184" t="s">
        <v>81</v>
      </c>
      <c r="E184">
        <v>1</v>
      </c>
      <c r="F184" t="s">
        <v>242</v>
      </c>
      <c r="H184" t="s">
        <v>243</v>
      </c>
      <c r="I184" t="str">
        <f>IF(ISBLANK(H184),"",INDEX(Sheet1!$F$2:$F$936,MATCH(H184,Sheet1!$C$2:$C$936,0)))</f>
        <v>United States</v>
      </c>
      <c r="J184">
        <v>6652</v>
      </c>
      <c r="M184">
        <v>825812.01100000006</v>
      </c>
      <c r="N184">
        <v>1E-4</v>
      </c>
    </row>
    <row r="185" spans="1:14" x14ac:dyDescent="0.35">
      <c r="A185" s="1">
        <v>45657</v>
      </c>
      <c r="B185" t="s">
        <v>14</v>
      </c>
      <c r="C185" t="s">
        <v>15</v>
      </c>
      <c r="D185" t="s">
        <v>81</v>
      </c>
      <c r="E185">
        <v>1</v>
      </c>
      <c r="F185" t="s">
        <v>244</v>
      </c>
      <c r="H185">
        <v>6076243</v>
      </c>
      <c r="I185" t="str">
        <f>IF(ISBLANK(H185),"",INDEX(Sheet1!$F$2:$F$936,MATCH(H185,Sheet1!$C$2:$C$936,0)))</f>
        <v>Australia</v>
      </c>
      <c r="J185">
        <v>368089</v>
      </c>
      <c r="M185">
        <v>2462517.4479999999</v>
      </c>
      <c r="N185">
        <v>2.9999999999999997E-4</v>
      </c>
    </row>
    <row r="186" spans="1:14" x14ac:dyDescent="0.35">
      <c r="A186" s="1">
        <v>45657</v>
      </c>
      <c r="B186" t="s">
        <v>14</v>
      </c>
      <c r="C186" t="s">
        <v>15</v>
      </c>
      <c r="D186" t="s">
        <v>81</v>
      </c>
      <c r="E186">
        <v>1</v>
      </c>
      <c r="F186" t="s">
        <v>245</v>
      </c>
      <c r="H186">
        <v>5473113</v>
      </c>
      <c r="I186" t="str">
        <f>IF(ISBLANK(H186),"",INDEX(Sheet1!$F$2:$F$936,MATCH(H186,Sheet1!$C$2:$C$936,0)))</f>
        <v>Poland</v>
      </c>
      <c r="J186">
        <v>6699</v>
      </c>
      <c r="M186">
        <v>361201.4621</v>
      </c>
      <c r="N186">
        <v>1E-4</v>
      </c>
    </row>
    <row r="187" spans="1:14" x14ac:dyDescent="0.35">
      <c r="A187" s="1">
        <v>45657</v>
      </c>
      <c r="B187" t="s">
        <v>14</v>
      </c>
      <c r="C187" t="s">
        <v>15</v>
      </c>
      <c r="D187" t="s">
        <v>81</v>
      </c>
      <c r="E187">
        <v>1</v>
      </c>
      <c r="F187" t="s">
        <v>246</v>
      </c>
      <c r="H187">
        <v>6709099</v>
      </c>
      <c r="I187" t="str">
        <f>IF(ISBLANK(H187),"",INDEX(Sheet1!$F$2:$F$936,MATCH(H187,Sheet1!$C$2:$C$936,0)))</f>
        <v>ID</v>
      </c>
      <c r="J187">
        <v>2254586</v>
      </c>
      <c r="M187">
        <v>920819.33360000001</v>
      </c>
      <c r="N187">
        <v>1E-4</v>
      </c>
    </row>
    <row r="188" spans="1:14" x14ac:dyDescent="0.35">
      <c r="A188" s="1">
        <v>45657</v>
      </c>
      <c r="B188" t="s">
        <v>14</v>
      </c>
      <c r="C188" t="s">
        <v>15</v>
      </c>
      <c r="D188" t="s">
        <v>81</v>
      </c>
      <c r="E188">
        <v>1</v>
      </c>
      <c r="F188" t="s">
        <v>247</v>
      </c>
      <c r="H188" t="s">
        <v>248</v>
      </c>
      <c r="I188" t="str">
        <f>IF(ISBLANK(H188),"",INDEX(Sheet1!$F$2:$F$936,MATCH(H188,Sheet1!$C$2:$C$936,0)))</f>
        <v>Australia</v>
      </c>
      <c r="J188">
        <v>228882</v>
      </c>
      <c r="M188">
        <v>1080324.06</v>
      </c>
      <c r="N188">
        <v>2.0000000000000001E-4</v>
      </c>
    </row>
    <row r="189" spans="1:14" x14ac:dyDescent="0.35">
      <c r="A189" s="1">
        <v>45657</v>
      </c>
      <c r="B189" t="s">
        <v>14</v>
      </c>
      <c r="C189" t="s">
        <v>15</v>
      </c>
      <c r="D189" t="s">
        <v>81</v>
      </c>
      <c r="E189">
        <v>1</v>
      </c>
      <c r="F189" t="s">
        <v>249</v>
      </c>
      <c r="H189">
        <v>3134865</v>
      </c>
      <c r="I189" t="str">
        <f>IF(ISBLANK(H189),"",INDEX(Sheet1!$F$2:$F$936,MATCH(H189,Sheet1!$C$2:$C$936,0)))</f>
        <v>United Kingdom</v>
      </c>
      <c r="J189">
        <v>739892</v>
      </c>
      <c r="M189">
        <v>4013222.5159999998</v>
      </c>
      <c r="N189">
        <v>5.9999999999999995E-4</v>
      </c>
    </row>
    <row r="190" spans="1:14" x14ac:dyDescent="0.35">
      <c r="A190" s="1">
        <v>45657</v>
      </c>
      <c r="B190" t="s">
        <v>14</v>
      </c>
      <c r="C190" t="s">
        <v>15</v>
      </c>
      <c r="D190" t="s">
        <v>81</v>
      </c>
      <c r="E190">
        <v>1</v>
      </c>
      <c r="F190" t="s">
        <v>250</v>
      </c>
      <c r="H190">
        <v>5756029</v>
      </c>
      <c r="I190" t="str">
        <f>IF(ISBLANK(H190),"",INDEX(Sheet1!$F$2:$F$936,MATCH(H190,Sheet1!$C$2:$C$936,0)))</f>
        <v>Germany</v>
      </c>
      <c r="J190">
        <v>37505</v>
      </c>
      <c r="M190">
        <v>4935251.5290000001</v>
      </c>
      <c r="N190">
        <v>6.9999999999999891E-4</v>
      </c>
    </row>
    <row r="191" spans="1:14" x14ac:dyDescent="0.35">
      <c r="A191" s="1">
        <v>45657</v>
      </c>
      <c r="B191" t="s">
        <v>14</v>
      </c>
      <c r="C191" t="s">
        <v>15</v>
      </c>
      <c r="D191" t="s">
        <v>81</v>
      </c>
      <c r="E191">
        <v>1</v>
      </c>
      <c r="F191" t="s">
        <v>251</v>
      </c>
      <c r="H191" t="s">
        <v>252</v>
      </c>
      <c r="I191" t="str">
        <f>IF(ISBLANK(H191),"",INDEX(Sheet1!$F$2:$F$936,MATCH(H191,Sheet1!$C$2:$C$936,0)))</f>
        <v>AUD</v>
      </c>
      <c r="J191">
        <v>197245</v>
      </c>
      <c r="M191">
        <v>601595.75179999997</v>
      </c>
      <c r="N191">
        <v>1E-4</v>
      </c>
    </row>
    <row r="192" spans="1:14" x14ac:dyDescent="0.35">
      <c r="A192" s="1">
        <v>45657</v>
      </c>
      <c r="B192" t="s">
        <v>14</v>
      </c>
      <c r="C192" t="s">
        <v>15</v>
      </c>
      <c r="D192" t="s">
        <v>81</v>
      </c>
      <c r="E192">
        <v>1</v>
      </c>
      <c r="F192" t="s">
        <v>253</v>
      </c>
      <c r="H192">
        <v>2087807</v>
      </c>
      <c r="I192" t="str">
        <f>IF(ISBLANK(H192),"",INDEX(Sheet1!$F$2:$F$936,MATCH(H192,Sheet1!$C$2:$C$936,0)))</f>
        <v>United States</v>
      </c>
      <c r="J192">
        <v>2666</v>
      </c>
      <c r="M192">
        <v>976609.98829999997</v>
      </c>
      <c r="N192">
        <v>1E-4</v>
      </c>
    </row>
    <row r="193" spans="1:14" x14ac:dyDescent="0.35">
      <c r="A193" s="1">
        <v>45657</v>
      </c>
      <c r="B193" t="s">
        <v>14</v>
      </c>
      <c r="C193" t="s">
        <v>15</v>
      </c>
      <c r="D193" t="s">
        <v>81</v>
      </c>
      <c r="E193">
        <v>1</v>
      </c>
      <c r="F193" t="s">
        <v>254</v>
      </c>
      <c r="H193" t="s">
        <v>255</v>
      </c>
      <c r="I193" t="str">
        <f>IF(ISBLANK(H193),"",INDEX(Sheet1!$F$2:$F$936,MATCH(H193,Sheet1!$C$2:$C$936,0)))</f>
        <v>AUD</v>
      </c>
      <c r="J193">
        <v>364989</v>
      </c>
      <c r="M193">
        <v>2102335.9980000001</v>
      </c>
      <c r="N193">
        <v>2.9999999999999997E-4</v>
      </c>
    </row>
    <row r="194" spans="1:14" x14ac:dyDescent="0.35">
      <c r="A194" s="1">
        <v>45657</v>
      </c>
      <c r="B194" t="s">
        <v>14</v>
      </c>
      <c r="C194" t="s">
        <v>15</v>
      </c>
      <c r="D194" t="s">
        <v>81</v>
      </c>
      <c r="E194">
        <v>1</v>
      </c>
      <c r="F194" t="s">
        <v>256</v>
      </c>
      <c r="H194" t="s">
        <v>257</v>
      </c>
      <c r="I194" t="str">
        <f>IF(ISBLANK(H194),"",INDEX(Sheet1!$F$2:$F$936,MATCH(H194,Sheet1!$C$2:$C$936,0)))</f>
        <v>Cayman Islands</v>
      </c>
      <c r="J194">
        <v>5555</v>
      </c>
      <c r="M194">
        <v>1658411.1869999999</v>
      </c>
      <c r="N194">
        <v>2.0000000000000001E-4</v>
      </c>
    </row>
    <row r="195" spans="1:14" x14ac:dyDescent="0.35">
      <c r="A195" s="1">
        <v>45657</v>
      </c>
      <c r="B195" t="s">
        <v>14</v>
      </c>
      <c r="C195" t="s">
        <v>15</v>
      </c>
      <c r="D195" t="s">
        <v>81</v>
      </c>
      <c r="E195">
        <v>1</v>
      </c>
      <c r="F195" t="s">
        <v>258</v>
      </c>
      <c r="H195" t="s">
        <v>259</v>
      </c>
      <c r="I195" t="str">
        <f>IF(ISBLANK(H195),"",INDEX(Sheet1!$F$2:$F$936,MATCH(H195,Sheet1!$C$2:$C$936,0)))</f>
        <v>CN</v>
      </c>
      <c r="J195">
        <v>233558</v>
      </c>
      <c r="M195">
        <v>670804.10600000003</v>
      </c>
      <c r="N195">
        <v>1E-4</v>
      </c>
    </row>
    <row r="196" spans="1:14" x14ac:dyDescent="0.35">
      <c r="A196" s="1">
        <v>45657</v>
      </c>
      <c r="B196" t="s">
        <v>14</v>
      </c>
      <c r="C196" t="s">
        <v>15</v>
      </c>
      <c r="D196" t="s">
        <v>81</v>
      </c>
      <c r="E196">
        <v>1</v>
      </c>
      <c r="F196" t="s">
        <v>260</v>
      </c>
      <c r="H196">
        <v>6091280</v>
      </c>
      <c r="I196" t="str">
        <f>IF(ISBLANK(H196),"",INDEX(Sheet1!$F$2:$F$936,MATCH(H196,Sheet1!$C$2:$C$936,0)))</f>
        <v>Australia</v>
      </c>
      <c r="J196">
        <v>281733</v>
      </c>
      <c r="M196">
        <v>3690696.7919999999</v>
      </c>
      <c r="N196">
        <v>5.0000000000000001E-4</v>
      </c>
    </row>
    <row r="197" spans="1:14" x14ac:dyDescent="0.35">
      <c r="A197" s="1">
        <v>45657</v>
      </c>
      <c r="B197" t="s">
        <v>14</v>
      </c>
      <c r="C197" t="s">
        <v>15</v>
      </c>
      <c r="D197" t="s">
        <v>81</v>
      </c>
      <c r="E197">
        <v>1</v>
      </c>
      <c r="F197" t="s">
        <v>261</v>
      </c>
      <c r="H197">
        <v>2073390</v>
      </c>
      <c r="I197" t="str">
        <f>IF(ISBLANK(H197),"",INDEX(Sheet1!$F$2:$F$936,MATCH(H197,Sheet1!$C$2:$C$936,0)))</f>
        <v>United States</v>
      </c>
      <c r="J197">
        <v>14409</v>
      </c>
      <c r="M197">
        <v>10556732.119999999</v>
      </c>
      <c r="N197">
        <v>1.5E-3</v>
      </c>
    </row>
    <row r="198" spans="1:14" x14ac:dyDescent="0.35">
      <c r="A198" s="1">
        <v>45657</v>
      </c>
      <c r="B198" t="s">
        <v>14</v>
      </c>
      <c r="C198" t="s">
        <v>15</v>
      </c>
      <c r="D198" t="s">
        <v>81</v>
      </c>
      <c r="E198">
        <v>1</v>
      </c>
      <c r="F198" t="s">
        <v>262</v>
      </c>
      <c r="H198">
        <v>2094670</v>
      </c>
      <c r="I198" t="str">
        <f>IF(ISBLANK(H198),"",INDEX(Sheet1!$F$2:$F$936,MATCH(H198,Sheet1!$C$2:$C$936,0)))</f>
        <v>United States</v>
      </c>
      <c r="J198">
        <v>20116</v>
      </c>
      <c r="M198">
        <v>2789499.6069999998</v>
      </c>
      <c r="N198">
        <v>4.0000000000000002E-4</v>
      </c>
    </row>
    <row r="199" spans="1:14" x14ac:dyDescent="0.35">
      <c r="A199" s="1">
        <v>45657</v>
      </c>
      <c r="B199" t="s">
        <v>14</v>
      </c>
      <c r="C199" t="s">
        <v>15</v>
      </c>
      <c r="D199" t="s">
        <v>81</v>
      </c>
      <c r="E199">
        <v>1</v>
      </c>
      <c r="F199" t="s">
        <v>263</v>
      </c>
      <c r="H199">
        <v>6099723</v>
      </c>
      <c r="I199" t="str">
        <f>IF(ISBLANK(H199),"",INDEX(Sheet1!$F$2:$F$936,MATCH(H199,Sheet1!$C$2:$C$936,0)))</f>
        <v>India</v>
      </c>
      <c r="J199">
        <v>188609</v>
      </c>
      <c r="M199">
        <v>1038619.664</v>
      </c>
      <c r="N199">
        <v>1E-4</v>
      </c>
    </row>
    <row r="200" spans="1:14" x14ac:dyDescent="0.35">
      <c r="A200" s="1">
        <v>45657</v>
      </c>
      <c r="B200" t="s">
        <v>14</v>
      </c>
      <c r="C200" t="s">
        <v>15</v>
      </c>
      <c r="D200" t="s">
        <v>81</v>
      </c>
      <c r="E200">
        <v>1</v>
      </c>
      <c r="F200" t="s">
        <v>264</v>
      </c>
      <c r="H200" t="s">
        <v>265</v>
      </c>
      <c r="I200" t="str">
        <f>IF(ISBLANK(H200),"",INDEX(Sheet1!$F$2:$F$936,MATCH(H200,Sheet1!$C$2:$C$936,0)))</f>
        <v>AUD</v>
      </c>
      <c r="J200">
        <v>3497483</v>
      </c>
      <c r="M200">
        <v>138150589.59999999</v>
      </c>
      <c r="N200">
        <v>1.9099999999999999E-2</v>
      </c>
    </row>
    <row r="201" spans="1:14" x14ac:dyDescent="0.35">
      <c r="A201" s="1">
        <v>45657</v>
      </c>
      <c r="B201" t="s">
        <v>14</v>
      </c>
      <c r="C201" t="s">
        <v>15</v>
      </c>
      <c r="D201" t="s">
        <v>81</v>
      </c>
      <c r="E201">
        <v>1</v>
      </c>
      <c r="F201" t="s">
        <v>266</v>
      </c>
      <c r="H201" t="s">
        <v>267</v>
      </c>
      <c r="I201" t="str">
        <f>IF(ISBLANK(H201),"",INDEX(Sheet1!$F$2:$F$936,MATCH(H201,Sheet1!$C$2:$C$936,0)))</f>
        <v>HKD</v>
      </c>
      <c r="J201">
        <v>21933</v>
      </c>
      <c r="M201">
        <v>647552.45889999997</v>
      </c>
      <c r="N201">
        <v>1E-4</v>
      </c>
    </row>
    <row r="202" spans="1:14" x14ac:dyDescent="0.35">
      <c r="A202" s="1">
        <v>45657</v>
      </c>
      <c r="B202" t="s">
        <v>14</v>
      </c>
      <c r="C202" t="s">
        <v>15</v>
      </c>
      <c r="D202" t="s">
        <v>81</v>
      </c>
      <c r="E202">
        <v>1</v>
      </c>
      <c r="F202" t="s">
        <v>268</v>
      </c>
      <c r="H202" t="s">
        <v>269</v>
      </c>
      <c r="I202" t="str">
        <f>IF(ISBLANK(H202),"",INDEX(Sheet1!$F$2:$F$936,MATCH(H202,Sheet1!$C$2:$C$936,0)))</f>
        <v>Germany</v>
      </c>
      <c r="J202">
        <v>11084</v>
      </c>
      <c r="M202">
        <v>2040000.53</v>
      </c>
      <c r="N202">
        <v>2.9999999999999997E-4</v>
      </c>
    </row>
    <row r="203" spans="1:14" x14ac:dyDescent="0.35">
      <c r="A203" s="1">
        <v>45657</v>
      </c>
      <c r="B203" t="s">
        <v>14</v>
      </c>
      <c r="C203" t="s">
        <v>15</v>
      </c>
      <c r="D203" t="s">
        <v>81</v>
      </c>
      <c r="E203">
        <v>1</v>
      </c>
      <c r="F203" t="s">
        <v>270</v>
      </c>
      <c r="H203" t="s">
        <v>271</v>
      </c>
      <c r="I203" t="str">
        <f>IF(ISBLANK(H203),"",INDEX(Sheet1!$F$2:$F$936,MATCH(H203,Sheet1!$C$2:$C$936,0)))</f>
        <v>United States</v>
      </c>
      <c r="J203">
        <v>3821</v>
      </c>
      <c r="M203">
        <v>6332424.7230000002</v>
      </c>
      <c r="N203">
        <v>8.9999999999999998E-4</v>
      </c>
    </row>
    <row r="204" spans="1:14" x14ac:dyDescent="0.35">
      <c r="A204" s="1">
        <v>45657</v>
      </c>
      <c r="B204" t="s">
        <v>14</v>
      </c>
      <c r="C204" t="s">
        <v>15</v>
      </c>
      <c r="D204" t="s">
        <v>81</v>
      </c>
      <c r="E204">
        <v>1</v>
      </c>
      <c r="F204" t="s">
        <v>272</v>
      </c>
      <c r="H204" t="s">
        <v>273</v>
      </c>
      <c r="I204" t="str">
        <f>IF(ISBLANK(H204),"",INDEX(Sheet1!$F$2:$F$936,MATCH(H204,Sheet1!$C$2:$C$936,0)))</f>
        <v>United States</v>
      </c>
      <c r="J204">
        <v>16759</v>
      </c>
      <c r="M204">
        <v>2354697.0419999999</v>
      </c>
      <c r="N204">
        <v>2.9999999999999997E-4</v>
      </c>
    </row>
    <row r="205" spans="1:14" x14ac:dyDescent="0.35">
      <c r="A205" s="1">
        <v>45657</v>
      </c>
      <c r="B205" t="s">
        <v>14</v>
      </c>
      <c r="C205" t="s">
        <v>15</v>
      </c>
      <c r="D205" t="s">
        <v>81</v>
      </c>
      <c r="E205">
        <v>1</v>
      </c>
      <c r="F205" t="s">
        <v>274</v>
      </c>
      <c r="H205" t="s">
        <v>275</v>
      </c>
      <c r="I205" t="str">
        <f>IF(ISBLANK(H205),"",INDEX(Sheet1!$F$2:$F$936,MATCH(H205,Sheet1!$C$2:$C$936,0)))</f>
        <v>United States</v>
      </c>
      <c r="J205">
        <v>2511</v>
      </c>
      <c r="M205">
        <v>344948.2023</v>
      </c>
      <c r="N205">
        <v>0</v>
      </c>
    </row>
    <row r="206" spans="1:14" x14ac:dyDescent="0.35">
      <c r="A206" s="1">
        <v>45657</v>
      </c>
      <c r="B206" t="s">
        <v>14</v>
      </c>
      <c r="C206" t="s">
        <v>15</v>
      </c>
      <c r="D206" t="s">
        <v>81</v>
      </c>
      <c r="E206">
        <v>1</v>
      </c>
      <c r="F206" t="s">
        <v>276</v>
      </c>
      <c r="H206">
        <v>6533232</v>
      </c>
      <c r="I206" t="str">
        <f>IF(ISBLANK(H206),"",INDEX(Sheet1!$F$2:$F$936,MATCH(H206,Sheet1!$C$2:$C$936,0)))</f>
        <v>Australia</v>
      </c>
      <c r="J206">
        <v>559286</v>
      </c>
      <c r="M206">
        <v>10447463.18</v>
      </c>
      <c r="N206">
        <v>1.3999999999999898E-3</v>
      </c>
    </row>
    <row r="207" spans="1:14" x14ac:dyDescent="0.35">
      <c r="A207" s="1">
        <v>45657</v>
      </c>
      <c r="B207" t="s">
        <v>14</v>
      </c>
      <c r="C207" t="s">
        <v>15</v>
      </c>
      <c r="D207" t="s">
        <v>81</v>
      </c>
      <c r="E207">
        <v>1</v>
      </c>
      <c r="F207" t="s">
        <v>277</v>
      </c>
      <c r="H207">
        <v>7309681</v>
      </c>
      <c r="I207" t="str">
        <f>IF(ISBLANK(H207),"",INDEX(Sheet1!$F$2:$F$936,MATCH(H207,Sheet1!$C$2:$C$936,0)))</f>
        <v>France</v>
      </c>
      <c r="J207">
        <v>104713</v>
      </c>
      <c r="M207">
        <v>10365814.01</v>
      </c>
      <c r="N207">
        <v>1.3999999999999898E-3</v>
      </c>
    </row>
    <row r="208" spans="1:14" x14ac:dyDescent="0.35">
      <c r="A208" s="1">
        <v>45657</v>
      </c>
      <c r="B208" t="s">
        <v>14</v>
      </c>
      <c r="C208" t="s">
        <v>15</v>
      </c>
      <c r="D208" t="s">
        <v>81</v>
      </c>
      <c r="E208">
        <v>1</v>
      </c>
      <c r="F208" t="s">
        <v>278</v>
      </c>
      <c r="H208">
        <v>6536112</v>
      </c>
      <c r="I208" t="str">
        <f>IF(ISBLANK(H208),"",INDEX(Sheet1!$F$2:$F$936,MATCH(H208,Sheet1!$C$2:$C$936,0)))</f>
        <v>Hong Kong</v>
      </c>
      <c r="J208">
        <v>199493</v>
      </c>
      <c r="M208">
        <v>1032819.009</v>
      </c>
      <c r="N208">
        <v>1E-4</v>
      </c>
    </row>
    <row r="209" spans="1:14" x14ac:dyDescent="0.35">
      <c r="A209" s="1">
        <v>45657</v>
      </c>
      <c r="B209" t="s">
        <v>14</v>
      </c>
      <c r="C209" t="s">
        <v>15</v>
      </c>
      <c r="D209" t="s">
        <v>81</v>
      </c>
      <c r="E209">
        <v>1</v>
      </c>
      <c r="F209" t="s">
        <v>279</v>
      </c>
      <c r="H209" t="s">
        <v>280</v>
      </c>
      <c r="I209" t="str">
        <f>IF(ISBLANK(H209),"",INDEX(Sheet1!$F$2:$F$936,MATCH(H209,Sheet1!$C$2:$C$936,0)))</f>
        <v>Sweden</v>
      </c>
      <c r="J209">
        <v>24461</v>
      </c>
      <c r="M209">
        <v>1109508.9550000001</v>
      </c>
      <c r="N209">
        <v>2.0000000000000001E-4</v>
      </c>
    </row>
    <row r="210" spans="1:14" x14ac:dyDescent="0.35">
      <c r="A210" s="1">
        <v>45657</v>
      </c>
      <c r="B210" t="s">
        <v>14</v>
      </c>
      <c r="C210" t="s">
        <v>15</v>
      </c>
      <c r="D210" t="s">
        <v>81</v>
      </c>
      <c r="E210">
        <v>1</v>
      </c>
      <c r="F210" t="s">
        <v>281</v>
      </c>
      <c r="H210" t="s">
        <v>282</v>
      </c>
      <c r="I210" t="str">
        <f>IF(ISBLANK(H210),"",INDEX(Sheet1!$F$2:$F$936,MATCH(H210,Sheet1!$C$2:$C$936,0)))</f>
        <v>United States</v>
      </c>
      <c r="J210">
        <v>1627</v>
      </c>
      <c r="M210">
        <v>13064822.49</v>
      </c>
      <c r="N210">
        <v>1.8E-3</v>
      </c>
    </row>
    <row r="211" spans="1:14" x14ac:dyDescent="0.35">
      <c r="A211" s="1">
        <v>45657</v>
      </c>
      <c r="B211" t="s">
        <v>14</v>
      </c>
      <c r="C211" t="s">
        <v>15</v>
      </c>
      <c r="D211" t="s">
        <v>81</v>
      </c>
      <c r="E211">
        <v>1</v>
      </c>
      <c r="F211" t="s">
        <v>283</v>
      </c>
      <c r="H211" t="s">
        <v>284</v>
      </c>
      <c r="I211" t="str">
        <f>IF(ISBLANK(H211),"",INDEX(Sheet1!$F$2:$F$936,MATCH(H211,Sheet1!$C$2:$C$936,0)))</f>
        <v>United States</v>
      </c>
      <c r="J211">
        <v>15811</v>
      </c>
      <c r="M211">
        <v>3285851.446</v>
      </c>
      <c r="N211">
        <v>5.0000000000000001E-4</v>
      </c>
    </row>
    <row r="212" spans="1:14" x14ac:dyDescent="0.35">
      <c r="A212" s="1">
        <v>45657</v>
      </c>
      <c r="B212" t="s">
        <v>14</v>
      </c>
      <c r="C212" t="s">
        <v>15</v>
      </c>
      <c r="D212" t="s">
        <v>81</v>
      </c>
      <c r="E212">
        <v>1</v>
      </c>
      <c r="F212" t="s">
        <v>285</v>
      </c>
      <c r="H212" t="s">
        <v>286</v>
      </c>
      <c r="I212" t="str">
        <f>IF(ISBLANK(H212),"",INDEX(Sheet1!$F$2:$F$936,MATCH(H212,Sheet1!$C$2:$C$936,0)))</f>
        <v>HK</v>
      </c>
      <c r="J212">
        <v>278823</v>
      </c>
      <c r="M212">
        <v>224935.6992</v>
      </c>
      <c r="N212">
        <v>0</v>
      </c>
    </row>
    <row r="213" spans="1:14" x14ac:dyDescent="0.35">
      <c r="A213" s="1">
        <v>45657</v>
      </c>
      <c r="B213" t="s">
        <v>14</v>
      </c>
      <c r="C213" t="s">
        <v>15</v>
      </c>
      <c r="D213" t="s">
        <v>81</v>
      </c>
      <c r="E213">
        <v>1</v>
      </c>
      <c r="F213" t="s">
        <v>287</v>
      </c>
      <c r="H213">
        <v>2113434</v>
      </c>
      <c r="I213" t="str">
        <f>IF(ISBLANK(H213),"",INDEX(Sheet1!$F$2:$F$936,MATCH(H213,Sheet1!$C$2:$C$936,0)))</f>
        <v>United States</v>
      </c>
      <c r="J213">
        <v>40892</v>
      </c>
      <c r="M213">
        <v>5899824.966</v>
      </c>
      <c r="N213">
        <v>8.0000000000000004E-4</v>
      </c>
    </row>
    <row r="214" spans="1:14" x14ac:dyDescent="0.35">
      <c r="A214" s="1">
        <v>45657</v>
      </c>
      <c r="B214" t="s">
        <v>14</v>
      </c>
      <c r="C214" t="s">
        <v>15</v>
      </c>
      <c r="D214" t="s">
        <v>81</v>
      </c>
      <c r="E214">
        <v>1</v>
      </c>
      <c r="F214" t="s">
        <v>288</v>
      </c>
      <c r="H214">
        <v>4116099</v>
      </c>
      <c r="I214" t="str">
        <f>IF(ISBLANK(H214),"",INDEX(Sheet1!$F$2:$F$936,MATCH(H214,Sheet1!$C$2:$C$936,0)))</f>
        <v>Italy</v>
      </c>
      <c r="J214">
        <v>287692</v>
      </c>
      <c r="M214">
        <v>2946572.0520000001</v>
      </c>
      <c r="N214">
        <v>4.0000000000000002E-4</v>
      </c>
    </row>
    <row r="215" spans="1:14" x14ac:dyDescent="0.35">
      <c r="A215" s="1">
        <v>45657</v>
      </c>
      <c r="B215" t="s">
        <v>14</v>
      </c>
      <c r="C215" t="s">
        <v>15</v>
      </c>
      <c r="D215" t="s">
        <v>81</v>
      </c>
      <c r="E215">
        <v>1</v>
      </c>
      <c r="F215" t="s">
        <v>289</v>
      </c>
      <c r="H215" t="s">
        <v>290</v>
      </c>
      <c r="I215" t="str">
        <f>IF(ISBLANK(H215),"",INDEX(Sheet1!$F$2:$F$936,MATCH(H215,Sheet1!$C$2:$C$936,0)))</f>
        <v>AUD</v>
      </c>
      <c r="J215">
        <v>525394</v>
      </c>
      <c r="M215">
        <v>10108577.48</v>
      </c>
      <c r="N215">
        <v>1.3999999999999898E-3</v>
      </c>
    </row>
    <row r="216" spans="1:14" x14ac:dyDescent="0.35">
      <c r="A216" s="1">
        <v>45657</v>
      </c>
      <c r="B216" t="s">
        <v>14</v>
      </c>
      <c r="C216" t="s">
        <v>15</v>
      </c>
      <c r="D216" t="s">
        <v>81</v>
      </c>
      <c r="E216">
        <v>1</v>
      </c>
      <c r="F216" t="s">
        <v>291</v>
      </c>
      <c r="H216" t="s">
        <v>292</v>
      </c>
      <c r="I216" t="str">
        <f>IF(ISBLANK(H216),"",INDEX(Sheet1!$F$2:$F$936,MATCH(H216,Sheet1!$C$2:$C$936,0)))</f>
        <v>AUD</v>
      </c>
      <c r="J216">
        <v>367106</v>
      </c>
      <c r="M216">
        <v>818646.43550000002</v>
      </c>
      <c r="N216">
        <v>1E-4</v>
      </c>
    </row>
    <row r="217" spans="1:14" x14ac:dyDescent="0.35">
      <c r="A217" s="1">
        <v>45657</v>
      </c>
      <c r="B217" t="s">
        <v>14</v>
      </c>
      <c r="C217" t="s">
        <v>15</v>
      </c>
      <c r="D217" t="s">
        <v>81</v>
      </c>
      <c r="E217">
        <v>1</v>
      </c>
      <c r="F217" t="s">
        <v>293</v>
      </c>
      <c r="H217">
        <v>6158709</v>
      </c>
      <c r="I217" t="str">
        <f>IF(ISBLANK(H217),"",INDEX(Sheet1!$F$2:$F$936,MATCH(H217,Sheet1!$C$2:$C$936,0)))</f>
        <v>AUD</v>
      </c>
      <c r="J217">
        <v>52734</v>
      </c>
      <c r="M217">
        <v>1865726.5220000001</v>
      </c>
      <c r="N217">
        <v>2.9999999999999997E-4</v>
      </c>
    </row>
    <row r="218" spans="1:14" x14ac:dyDescent="0.35">
      <c r="A218" s="1">
        <v>45657</v>
      </c>
      <c r="B218" t="s">
        <v>14</v>
      </c>
      <c r="C218" t="s">
        <v>15</v>
      </c>
      <c r="D218" t="s">
        <v>81</v>
      </c>
      <c r="E218">
        <v>1</v>
      </c>
      <c r="F218" t="s">
        <v>294</v>
      </c>
      <c r="H218">
        <v>2126335</v>
      </c>
      <c r="I218" t="str">
        <f>IF(ISBLANK(H218),"",INDEX(Sheet1!$F$2:$F$936,MATCH(H218,Sheet1!$C$2:$C$936,0)))</f>
        <v>United States</v>
      </c>
      <c r="J218">
        <v>61614</v>
      </c>
      <c r="M218">
        <v>5631498.0769999996</v>
      </c>
      <c r="N218">
        <v>8.0000000000000004E-4</v>
      </c>
    </row>
    <row r="219" spans="1:14" x14ac:dyDescent="0.35">
      <c r="A219" s="1">
        <v>45657</v>
      </c>
      <c r="B219" t="s">
        <v>14</v>
      </c>
      <c r="C219" t="s">
        <v>15</v>
      </c>
      <c r="D219" t="s">
        <v>81</v>
      </c>
      <c r="E219">
        <v>1</v>
      </c>
      <c r="F219" t="s">
        <v>295</v>
      </c>
      <c r="H219" t="s">
        <v>296</v>
      </c>
      <c r="I219" t="str">
        <f>IF(ISBLANK(H219),"",INDEX(Sheet1!$F$2:$F$936,MATCH(H219,Sheet1!$C$2:$C$936,0)))</f>
        <v>INR</v>
      </c>
      <c r="J219">
        <v>34587</v>
      </c>
      <c r="M219">
        <v>3103021.0830000001</v>
      </c>
      <c r="N219">
        <v>4.0000000000000002E-4</v>
      </c>
    </row>
    <row r="220" spans="1:14" x14ac:dyDescent="0.35">
      <c r="A220" s="1">
        <v>45657</v>
      </c>
      <c r="B220" t="s">
        <v>14</v>
      </c>
      <c r="C220" t="s">
        <v>15</v>
      </c>
      <c r="D220" t="s">
        <v>81</v>
      </c>
      <c r="E220">
        <v>1</v>
      </c>
      <c r="F220" t="s">
        <v>297</v>
      </c>
      <c r="H220" t="s">
        <v>298</v>
      </c>
      <c r="I220" t="str">
        <f>IF(ISBLANK(H220),"",INDEX(Sheet1!$F$2:$F$936,MATCH(H220,Sheet1!$C$2:$C$936,0)))</f>
        <v>United States</v>
      </c>
      <c r="J220">
        <v>68978</v>
      </c>
      <c r="M220">
        <v>25822204.460000001</v>
      </c>
      <c r="N220">
        <v>3.5999999999999999E-3</v>
      </c>
    </row>
    <row r="221" spans="1:14" x14ac:dyDescent="0.35">
      <c r="A221" s="1">
        <v>45657</v>
      </c>
      <c r="B221" t="s">
        <v>14</v>
      </c>
      <c r="C221" t="s">
        <v>15</v>
      </c>
      <c r="D221" t="s">
        <v>81</v>
      </c>
      <c r="E221">
        <v>1</v>
      </c>
      <c r="F221" t="s">
        <v>299</v>
      </c>
      <c r="H221" t="s">
        <v>300</v>
      </c>
      <c r="I221" t="str">
        <f>IF(ISBLANK(H221),"",INDEX(Sheet1!$F$2:$F$936,MATCH(H221,Sheet1!$C$2:$C$936,0)))</f>
        <v>United States</v>
      </c>
      <c r="J221">
        <v>6135</v>
      </c>
      <c r="M221">
        <v>2241162.5350000001</v>
      </c>
      <c r="N221">
        <v>2.9999999999999997E-4</v>
      </c>
    </row>
    <row r="222" spans="1:14" x14ac:dyDescent="0.35">
      <c r="A222" s="1">
        <v>45657</v>
      </c>
      <c r="B222" t="s">
        <v>14</v>
      </c>
      <c r="C222" t="s">
        <v>15</v>
      </c>
      <c r="D222" t="s">
        <v>81</v>
      </c>
      <c r="E222">
        <v>1</v>
      </c>
      <c r="F222" t="s">
        <v>301</v>
      </c>
      <c r="H222">
        <v>6536651</v>
      </c>
      <c r="I222" t="str">
        <f>IF(ISBLANK(H222),"",INDEX(Sheet1!$F$2:$F$936,MATCH(H222,Sheet1!$C$2:$C$936,0)))</f>
        <v>HKD</v>
      </c>
      <c r="J222">
        <v>21110</v>
      </c>
      <c r="M222">
        <v>1169304.297</v>
      </c>
      <c r="N222">
        <v>2.0000000000000001E-4</v>
      </c>
    </row>
    <row r="223" spans="1:14" x14ac:dyDescent="0.35">
      <c r="A223" s="1">
        <v>45657</v>
      </c>
      <c r="B223" t="s">
        <v>14</v>
      </c>
      <c r="C223" t="s">
        <v>15</v>
      </c>
      <c r="D223" t="s">
        <v>81</v>
      </c>
      <c r="E223">
        <v>1</v>
      </c>
      <c r="F223" t="s">
        <v>302</v>
      </c>
      <c r="H223">
        <v>2170525</v>
      </c>
      <c r="I223" t="str">
        <f>IF(ISBLANK(H223),"",INDEX(Sheet1!$F$2:$F$936,MATCH(H223,Sheet1!$C$2:$C$936,0)))</f>
        <v>Canada</v>
      </c>
      <c r="J223">
        <v>6277</v>
      </c>
      <c r="M223">
        <v>639431.02630000003</v>
      </c>
      <c r="N223">
        <v>1E-4</v>
      </c>
    </row>
    <row r="224" spans="1:14" x14ac:dyDescent="0.35">
      <c r="A224" s="1">
        <v>45657</v>
      </c>
      <c r="B224" t="s">
        <v>14</v>
      </c>
      <c r="C224" t="s">
        <v>15</v>
      </c>
      <c r="D224" t="s">
        <v>81</v>
      </c>
      <c r="E224">
        <v>1</v>
      </c>
      <c r="F224" t="s">
        <v>303</v>
      </c>
      <c r="H224">
        <v>2172286</v>
      </c>
      <c r="I224" t="str">
        <f>IF(ISBLANK(H224),"",INDEX(Sheet1!$F$2:$F$936,MATCH(H224,Sheet1!$C$2:$C$936,0)))</f>
        <v>Canada</v>
      </c>
      <c r="J224">
        <v>1986</v>
      </c>
      <c r="M224">
        <v>336471.53850000002</v>
      </c>
      <c r="N224">
        <v>0</v>
      </c>
    </row>
    <row r="225" spans="1:14" x14ac:dyDescent="0.35">
      <c r="A225" s="1">
        <v>45657</v>
      </c>
      <c r="B225" t="s">
        <v>14</v>
      </c>
      <c r="C225" t="s">
        <v>15</v>
      </c>
      <c r="D225" t="s">
        <v>81</v>
      </c>
      <c r="E225">
        <v>1</v>
      </c>
      <c r="F225" t="s">
        <v>304</v>
      </c>
      <c r="H225">
        <v>6172323</v>
      </c>
      <c r="I225" t="str">
        <f>IF(ISBLANK(H225),"",INDEX(Sheet1!$F$2:$F$936,MATCH(H225,Sheet1!$C$2:$C$936,0)))</f>
        <v>Japan</v>
      </c>
      <c r="J225">
        <v>69239</v>
      </c>
      <c r="M225">
        <v>3670958.0040000002</v>
      </c>
      <c r="N225">
        <v>5.0000000000000001E-4</v>
      </c>
    </row>
    <row r="226" spans="1:14" x14ac:dyDescent="0.35">
      <c r="A226" s="1">
        <v>45657</v>
      </c>
      <c r="B226" t="s">
        <v>14</v>
      </c>
      <c r="C226" t="s">
        <v>15</v>
      </c>
      <c r="D226" t="s">
        <v>81</v>
      </c>
      <c r="E226">
        <v>1</v>
      </c>
      <c r="F226" t="s">
        <v>305</v>
      </c>
      <c r="H226">
        <v>2654461</v>
      </c>
      <c r="I226" t="str">
        <f>IF(ISBLANK(H226),"",INDEX(Sheet1!$F$2:$F$936,MATCH(H226,Sheet1!$C$2:$C$936,0)))</f>
        <v>United States</v>
      </c>
      <c r="J226">
        <v>6162</v>
      </c>
      <c r="M226">
        <v>1775332.6540000001</v>
      </c>
      <c r="N226">
        <v>2.0000000000000001E-4</v>
      </c>
    </row>
    <row r="227" spans="1:14" x14ac:dyDescent="0.35">
      <c r="A227" s="1">
        <v>45657</v>
      </c>
      <c r="B227" t="s">
        <v>14</v>
      </c>
      <c r="C227" t="s">
        <v>15</v>
      </c>
      <c r="D227" t="s">
        <v>81</v>
      </c>
      <c r="E227">
        <v>1</v>
      </c>
      <c r="F227" t="s">
        <v>306</v>
      </c>
      <c r="H227" t="s">
        <v>307</v>
      </c>
      <c r="I227" t="str">
        <f>IF(ISBLANK(H227),"",INDEX(Sheet1!$F$2:$F$936,MATCH(H227,Sheet1!$C$2:$C$936,0)))</f>
        <v>AUD</v>
      </c>
      <c r="J227">
        <v>113995</v>
      </c>
      <c r="M227">
        <v>713608.53430000006</v>
      </c>
      <c r="N227">
        <v>1E-4</v>
      </c>
    </row>
    <row r="228" spans="1:14" x14ac:dyDescent="0.35">
      <c r="A228" s="1">
        <v>45657</v>
      </c>
      <c r="B228" t="s">
        <v>14</v>
      </c>
      <c r="C228" t="s">
        <v>15</v>
      </c>
      <c r="D228" t="s">
        <v>81</v>
      </c>
      <c r="E228">
        <v>1</v>
      </c>
      <c r="F228" t="s">
        <v>308</v>
      </c>
      <c r="H228" t="s">
        <v>309</v>
      </c>
      <c r="I228" t="str">
        <f>IF(ISBLANK(H228),"",INDEX(Sheet1!$F$2:$F$936,MATCH(H228,Sheet1!$C$2:$C$936,0)))</f>
        <v>Australia</v>
      </c>
      <c r="J228">
        <v>339993</v>
      </c>
      <c r="M228">
        <v>12249953.119999999</v>
      </c>
      <c r="N228">
        <v>1.6999999999999901E-3</v>
      </c>
    </row>
    <row r="229" spans="1:14" x14ac:dyDescent="0.35">
      <c r="A229" s="1">
        <v>45657</v>
      </c>
      <c r="B229" t="s">
        <v>14</v>
      </c>
      <c r="C229" t="s">
        <v>15</v>
      </c>
      <c r="D229" t="s">
        <v>81</v>
      </c>
      <c r="E229">
        <v>1</v>
      </c>
      <c r="F229" t="s">
        <v>310</v>
      </c>
      <c r="H229">
        <v>2175672</v>
      </c>
      <c r="I229" t="str">
        <f>IF(ISBLANK(H229),"",INDEX(Sheet1!$F$2:$F$936,MATCH(H229,Sheet1!$C$2:$C$936,0)))</f>
        <v>United States</v>
      </c>
      <c r="J229">
        <v>19213</v>
      </c>
      <c r="M229">
        <v>3670601.7</v>
      </c>
      <c r="N229">
        <v>5.0000000000000001E-4</v>
      </c>
    </row>
    <row r="230" spans="1:14" x14ac:dyDescent="0.35">
      <c r="A230" s="1">
        <v>45657</v>
      </c>
      <c r="B230" t="s">
        <v>14</v>
      </c>
      <c r="C230" t="s">
        <v>15</v>
      </c>
      <c r="D230" t="s">
        <v>81</v>
      </c>
      <c r="E230">
        <v>1</v>
      </c>
      <c r="F230" t="s">
        <v>311</v>
      </c>
      <c r="H230">
        <v>2176318</v>
      </c>
      <c r="I230" t="str">
        <f>IF(ISBLANK(H230),"",INDEX(Sheet1!$F$2:$F$936,MATCH(H230,Sheet1!$C$2:$C$936,0)))</f>
        <v>United States</v>
      </c>
      <c r="J230">
        <v>4525</v>
      </c>
      <c r="M230">
        <v>2694517.3459999999</v>
      </c>
      <c r="N230">
        <v>4.0000000000000002E-4</v>
      </c>
    </row>
    <row r="231" spans="1:14" x14ac:dyDescent="0.35">
      <c r="A231" s="1">
        <v>45657</v>
      </c>
      <c r="B231" t="s">
        <v>14</v>
      </c>
      <c r="C231" t="s">
        <v>15</v>
      </c>
      <c r="D231" t="s">
        <v>81</v>
      </c>
      <c r="E231">
        <v>1</v>
      </c>
      <c r="F231" t="s">
        <v>312</v>
      </c>
      <c r="H231">
        <v>4169219</v>
      </c>
      <c r="I231" t="str">
        <f>IF(ISBLANK(H231),"",INDEX(Sheet1!$F$2:$F$936,MATCH(H231,Sheet1!$C$2:$C$936,0)))</f>
        <v>Denmark</v>
      </c>
      <c r="J231">
        <v>1140</v>
      </c>
      <c r="M231">
        <v>176317.01740000001</v>
      </c>
      <c r="N231">
        <v>0</v>
      </c>
    </row>
    <row r="232" spans="1:14" x14ac:dyDescent="0.35">
      <c r="A232" s="1">
        <v>45657</v>
      </c>
      <c r="B232" t="s">
        <v>14</v>
      </c>
      <c r="C232" t="s">
        <v>15</v>
      </c>
      <c r="D232" t="s">
        <v>81</v>
      </c>
      <c r="E232">
        <v>1</v>
      </c>
      <c r="F232" t="s">
        <v>313</v>
      </c>
      <c r="H232" t="s">
        <v>314</v>
      </c>
      <c r="I232" t="str">
        <f>IF(ISBLANK(H232),"",INDEX(Sheet1!$F$2:$F$936,MATCH(H232,Sheet1!$C$2:$C$936,0)))</f>
        <v>United States</v>
      </c>
      <c r="J232">
        <v>22154</v>
      </c>
      <c r="M232">
        <v>1806567.051</v>
      </c>
      <c r="N232">
        <v>2.9999999999999997E-4</v>
      </c>
    </row>
    <row r="233" spans="1:14" x14ac:dyDescent="0.35">
      <c r="A233" s="1">
        <v>45657</v>
      </c>
      <c r="B233" t="s">
        <v>14</v>
      </c>
      <c r="C233" t="s">
        <v>15</v>
      </c>
      <c r="D233" t="s">
        <v>81</v>
      </c>
      <c r="E233">
        <v>1</v>
      </c>
      <c r="F233" t="s">
        <v>315</v>
      </c>
      <c r="H233">
        <v>2523044</v>
      </c>
      <c r="I233" t="str">
        <f>IF(ISBLANK(H233),"",INDEX(Sheet1!$F$2:$F$936,MATCH(H233,Sheet1!$C$2:$C$936,0)))</f>
        <v>United States</v>
      </c>
      <c r="J233">
        <v>12289</v>
      </c>
      <c r="M233">
        <v>494602.05949999997</v>
      </c>
      <c r="N233">
        <v>1E-4</v>
      </c>
    </row>
    <row r="234" spans="1:14" x14ac:dyDescent="0.35">
      <c r="A234" s="1">
        <v>45657</v>
      </c>
      <c r="B234" t="s">
        <v>14</v>
      </c>
      <c r="C234" t="s">
        <v>15</v>
      </c>
      <c r="D234" t="s">
        <v>81</v>
      </c>
      <c r="E234">
        <v>1</v>
      </c>
      <c r="F234" t="s">
        <v>316</v>
      </c>
      <c r="H234">
        <v>2180201</v>
      </c>
      <c r="I234" t="str">
        <f>IF(ISBLANK(H234),"",INDEX(Sheet1!$F$2:$F$936,MATCH(H234,Sheet1!$C$2:$C$936,0)))</f>
        <v>United States</v>
      </c>
      <c r="J234">
        <v>11548</v>
      </c>
      <c r="M234">
        <v>6769387.5499999998</v>
      </c>
      <c r="N234">
        <v>8.9999999999999998E-4</v>
      </c>
    </row>
    <row r="235" spans="1:14" x14ac:dyDescent="0.35">
      <c r="A235" s="1">
        <v>45657</v>
      </c>
      <c r="B235" t="s">
        <v>14</v>
      </c>
      <c r="C235" t="s">
        <v>15</v>
      </c>
      <c r="D235" t="s">
        <v>81</v>
      </c>
      <c r="E235">
        <v>1</v>
      </c>
      <c r="F235" t="s">
        <v>317</v>
      </c>
      <c r="H235">
        <v>6425663</v>
      </c>
      <c r="I235" t="str">
        <f>IF(ISBLANK(H235),"",INDEX(Sheet1!$F$2:$F$936,MATCH(H235,Sheet1!$C$2:$C$936,0)))</f>
        <v>Taiwan</v>
      </c>
      <c r="J235">
        <v>271240</v>
      </c>
      <c r="M235">
        <v>912662.66079999995</v>
      </c>
      <c r="N235">
        <v>1E-4</v>
      </c>
    </row>
    <row r="236" spans="1:14" x14ac:dyDescent="0.35">
      <c r="A236" s="1">
        <v>45657</v>
      </c>
      <c r="B236" t="s">
        <v>14</v>
      </c>
      <c r="C236" t="s">
        <v>15</v>
      </c>
      <c r="D236" t="s">
        <v>81</v>
      </c>
      <c r="E236">
        <v>1</v>
      </c>
      <c r="F236" t="s">
        <v>318</v>
      </c>
      <c r="H236" t="s">
        <v>319</v>
      </c>
      <c r="I236" t="str">
        <f>IF(ISBLANK(H236),"",INDEX(Sheet1!$F$2:$F$936,MATCH(H236,Sheet1!$C$2:$C$936,0)))</f>
        <v>United States</v>
      </c>
      <c r="J236">
        <v>267</v>
      </c>
      <c r="M236">
        <v>84120.433699999994</v>
      </c>
      <c r="N236">
        <v>0</v>
      </c>
    </row>
    <row r="237" spans="1:14" x14ac:dyDescent="0.35">
      <c r="A237" s="1">
        <v>45657</v>
      </c>
      <c r="B237" t="s">
        <v>14</v>
      </c>
      <c r="C237" t="s">
        <v>15</v>
      </c>
      <c r="D237" t="s">
        <v>81</v>
      </c>
      <c r="E237">
        <v>1</v>
      </c>
      <c r="F237" t="s">
        <v>320</v>
      </c>
      <c r="H237" t="s">
        <v>321</v>
      </c>
      <c r="I237" t="str">
        <f>IF(ISBLANK(H237),"",INDEX(Sheet1!$F$2:$F$936,MATCH(H237,Sheet1!$C$2:$C$936,0)))</f>
        <v>United States</v>
      </c>
      <c r="J237">
        <v>18346</v>
      </c>
      <c r="M237">
        <v>3889725.3930000002</v>
      </c>
      <c r="N237">
        <v>5.0000000000000001E-4</v>
      </c>
    </row>
    <row r="238" spans="1:14" x14ac:dyDescent="0.35">
      <c r="A238" s="1">
        <v>45657</v>
      </c>
      <c r="B238" t="s">
        <v>14</v>
      </c>
      <c r="C238" t="s">
        <v>15</v>
      </c>
      <c r="D238" t="s">
        <v>81</v>
      </c>
      <c r="E238">
        <v>1</v>
      </c>
      <c r="F238" t="s">
        <v>322</v>
      </c>
      <c r="H238">
        <v>2159795</v>
      </c>
      <c r="I238" t="str">
        <f>IF(ISBLANK(H238),"",INDEX(Sheet1!$F$2:$F$936,MATCH(H238,Sheet1!$C$2:$C$936,0)))</f>
        <v>Canada</v>
      </c>
      <c r="J238">
        <v>15815</v>
      </c>
      <c r="M238">
        <v>1309458.365</v>
      </c>
      <c r="N238">
        <v>2.0000000000000001E-4</v>
      </c>
    </row>
    <row r="239" spans="1:14" x14ac:dyDescent="0.35">
      <c r="A239" s="1">
        <v>45657</v>
      </c>
      <c r="B239" t="s">
        <v>14</v>
      </c>
      <c r="C239" t="s">
        <v>15</v>
      </c>
      <c r="D239" t="s">
        <v>81</v>
      </c>
      <c r="E239">
        <v>1</v>
      </c>
      <c r="F239" t="s">
        <v>323</v>
      </c>
      <c r="H239">
        <v>6182281</v>
      </c>
      <c r="I239" t="str">
        <f>IF(ISBLANK(H239),"",INDEX(Sheet1!$F$2:$F$936,MATCH(H239,Sheet1!$C$2:$C$936,0)))</f>
        <v>Australia</v>
      </c>
      <c r="J239">
        <v>110366</v>
      </c>
      <c r="M239">
        <v>607014.2561</v>
      </c>
      <c r="N239">
        <v>1E-4</v>
      </c>
    </row>
    <row r="240" spans="1:14" x14ac:dyDescent="0.35">
      <c r="A240" s="1">
        <v>45657</v>
      </c>
      <c r="B240" t="s">
        <v>14</v>
      </c>
      <c r="C240" t="s">
        <v>15</v>
      </c>
      <c r="D240" t="s">
        <v>81</v>
      </c>
      <c r="E240">
        <v>1</v>
      </c>
      <c r="F240" t="s">
        <v>324</v>
      </c>
      <c r="H240" t="s">
        <v>325</v>
      </c>
      <c r="I240" t="str">
        <f>IF(ISBLANK(H240),"",INDEX(Sheet1!$F$2:$F$936,MATCH(H240,Sheet1!$C$2:$C$936,0)))</f>
        <v>Chile</v>
      </c>
      <c r="J240">
        <v>166357</v>
      </c>
      <c r="M240">
        <v>594361.99179999996</v>
      </c>
      <c r="N240">
        <v>1E-4</v>
      </c>
    </row>
    <row r="241" spans="1:14" x14ac:dyDescent="0.35">
      <c r="A241" s="1">
        <v>45657</v>
      </c>
      <c r="B241" t="s">
        <v>14</v>
      </c>
      <c r="C241" t="s">
        <v>15</v>
      </c>
      <c r="D241" t="s">
        <v>81</v>
      </c>
      <c r="E241">
        <v>1</v>
      </c>
      <c r="F241" t="s">
        <v>326</v>
      </c>
      <c r="H241">
        <v>2807061</v>
      </c>
      <c r="I241" t="str">
        <f>IF(ISBLANK(H241),"",INDEX(Sheet1!$F$2:$F$936,MATCH(H241,Sheet1!$C$2:$C$936,0)))</f>
        <v>United States</v>
      </c>
      <c r="J241">
        <v>21718</v>
      </c>
      <c r="M241">
        <v>2124960.321</v>
      </c>
      <c r="N241">
        <v>2.9999999999999997E-4</v>
      </c>
    </row>
    <row r="242" spans="1:14" x14ac:dyDescent="0.35">
      <c r="A242" s="1">
        <v>45657</v>
      </c>
      <c r="B242" t="s">
        <v>14</v>
      </c>
      <c r="C242" t="s">
        <v>15</v>
      </c>
      <c r="D242" t="s">
        <v>81</v>
      </c>
      <c r="E242">
        <v>1</v>
      </c>
      <c r="F242" t="s">
        <v>327</v>
      </c>
      <c r="H242" t="s">
        <v>328</v>
      </c>
      <c r="I242" t="str">
        <f>IF(ISBLANK(H242),"",INDEX(Sheet1!$F$2:$F$936,MATCH(H242,Sheet1!$C$2:$C$936,0)))</f>
        <v>United Kingdom</v>
      </c>
      <c r="J242">
        <v>1229145</v>
      </c>
      <c r="M242">
        <v>3321672.0649999999</v>
      </c>
      <c r="N242">
        <v>5.0000000000000001E-4</v>
      </c>
    </row>
    <row r="243" spans="1:14" x14ac:dyDescent="0.35">
      <c r="A243" s="1">
        <v>45657</v>
      </c>
      <c r="B243" t="s">
        <v>14</v>
      </c>
      <c r="C243" t="s">
        <v>15</v>
      </c>
      <c r="D243" t="s">
        <v>81</v>
      </c>
      <c r="E243">
        <v>1</v>
      </c>
      <c r="F243" t="s">
        <v>329</v>
      </c>
      <c r="H243" t="s">
        <v>330</v>
      </c>
      <c r="I243" t="str">
        <f>IF(ISBLANK(H243),"",INDEX(Sheet1!$F$2:$F$936,MATCH(H243,Sheet1!$C$2:$C$936,0)))</f>
        <v>CNY</v>
      </c>
      <c r="J243">
        <v>542130</v>
      </c>
      <c r="M243">
        <v>495426.99709999998</v>
      </c>
      <c r="N243">
        <v>1E-4</v>
      </c>
    </row>
    <row r="244" spans="1:14" x14ac:dyDescent="0.35">
      <c r="A244" s="1">
        <v>45657</v>
      </c>
      <c r="B244" t="s">
        <v>14</v>
      </c>
      <c r="C244" t="s">
        <v>15</v>
      </c>
      <c r="D244" t="s">
        <v>81</v>
      </c>
      <c r="E244">
        <v>1</v>
      </c>
      <c r="F244" t="s">
        <v>331</v>
      </c>
      <c r="H244" t="s">
        <v>332</v>
      </c>
      <c r="I244" t="str">
        <f>IF(ISBLANK(H244),"",INDEX(Sheet1!$F$2:$F$936,MATCH(H244,Sheet1!$C$2:$C$936,0)))</f>
        <v>HKD</v>
      </c>
      <c r="J244">
        <v>2452828</v>
      </c>
      <c r="M244">
        <v>1453481.9</v>
      </c>
      <c r="N244">
        <v>2.0000000000000001E-4</v>
      </c>
    </row>
    <row r="245" spans="1:14" x14ac:dyDescent="0.35">
      <c r="A245" s="1">
        <v>45657</v>
      </c>
      <c r="B245" t="s">
        <v>14</v>
      </c>
      <c r="C245" t="s">
        <v>15</v>
      </c>
      <c r="D245" t="s">
        <v>81</v>
      </c>
      <c r="E245">
        <v>1</v>
      </c>
      <c r="F245" t="s">
        <v>333</v>
      </c>
      <c r="H245">
        <v>6726300</v>
      </c>
      <c r="I245" t="str">
        <f>IF(ISBLANK(H245),"",INDEX(Sheet1!$F$2:$F$936,MATCH(H245,Sheet1!$C$2:$C$936,0)))</f>
        <v>Australia</v>
      </c>
      <c r="J245">
        <v>264484</v>
      </c>
      <c r="M245">
        <v>1589551.6370000001</v>
      </c>
      <c r="N245">
        <v>2.0000000000000001E-4</v>
      </c>
    </row>
    <row r="246" spans="1:14" x14ac:dyDescent="0.35">
      <c r="A246" s="1">
        <v>45657</v>
      </c>
      <c r="B246" t="s">
        <v>14</v>
      </c>
      <c r="C246" t="s">
        <v>15</v>
      </c>
      <c r="D246" t="s">
        <v>81</v>
      </c>
      <c r="E246">
        <v>1</v>
      </c>
      <c r="F246" t="s">
        <v>334</v>
      </c>
      <c r="H246" t="s">
        <v>335</v>
      </c>
      <c r="I246" t="str">
        <f>IF(ISBLANK(H246),"",INDEX(Sheet1!$F$2:$F$936,MATCH(H246,Sheet1!$C$2:$C$936,0)))</f>
        <v>AUD</v>
      </c>
      <c r="J246">
        <v>74730</v>
      </c>
      <c r="M246">
        <v>428947.95270000002</v>
      </c>
      <c r="N246">
        <v>1E-4</v>
      </c>
    </row>
    <row r="247" spans="1:14" x14ac:dyDescent="0.35">
      <c r="A247" s="1">
        <v>45657</v>
      </c>
      <c r="B247" t="s">
        <v>14</v>
      </c>
      <c r="C247" t="s">
        <v>15</v>
      </c>
      <c r="D247" t="s">
        <v>81</v>
      </c>
      <c r="E247">
        <v>1</v>
      </c>
      <c r="F247" t="s">
        <v>336</v>
      </c>
      <c r="H247" t="s">
        <v>337</v>
      </c>
      <c r="I247" t="str">
        <f>IF(ISBLANK(H247),"",INDEX(Sheet1!$F$2:$F$936,MATCH(H247,Sheet1!$C$2:$C$936,0)))</f>
        <v>CA</v>
      </c>
      <c r="J247">
        <v>105619</v>
      </c>
      <c r="M247">
        <v>1785100.59</v>
      </c>
      <c r="N247">
        <v>2.0000000000000001E-4</v>
      </c>
    </row>
    <row r="248" spans="1:14" x14ac:dyDescent="0.35">
      <c r="A248" s="1">
        <v>45657</v>
      </c>
      <c r="B248" t="s">
        <v>14</v>
      </c>
      <c r="C248" t="s">
        <v>15</v>
      </c>
      <c r="D248" t="s">
        <v>81</v>
      </c>
      <c r="E248">
        <v>1</v>
      </c>
      <c r="F248" t="s">
        <v>338</v>
      </c>
      <c r="H248">
        <v>2838555</v>
      </c>
      <c r="I248" t="str">
        <f>IF(ISBLANK(H248),"",INDEX(Sheet1!$F$2:$F$936,MATCH(H248,Sheet1!$C$2:$C$936,0)))</f>
        <v>United States</v>
      </c>
      <c r="J248">
        <v>12415</v>
      </c>
      <c r="M248">
        <v>2905138.7379999999</v>
      </c>
      <c r="N248">
        <v>4.0000000000000002E-4</v>
      </c>
    </row>
    <row r="249" spans="1:14" x14ac:dyDescent="0.35">
      <c r="A249" s="1">
        <v>45657</v>
      </c>
      <c r="B249" t="s">
        <v>14</v>
      </c>
      <c r="C249" t="s">
        <v>15</v>
      </c>
      <c r="D249" t="s">
        <v>81</v>
      </c>
      <c r="E249">
        <v>1</v>
      </c>
      <c r="F249" t="s">
        <v>339</v>
      </c>
      <c r="H249" t="s">
        <v>340</v>
      </c>
      <c r="I249" t="str">
        <f>IF(ISBLANK(H249),"",INDEX(Sheet1!$F$2:$F$936,MATCH(H249,Sheet1!$C$2:$C$936,0)))</f>
        <v>China</v>
      </c>
      <c r="J249">
        <v>292823</v>
      </c>
      <c r="M249">
        <v>393918.85470000003</v>
      </c>
      <c r="N249">
        <v>1E-4</v>
      </c>
    </row>
    <row r="250" spans="1:14" x14ac:dyDescent="0.35">
      <c r="A250" s="1">
        <v>45657</v>
      </c>
      <c r="B250" t="s">
        <v>14</v>
      </c>
      <c r="C250" t="s">
        <v>15</v>
      </c>
      <c r="D250" t="s">
        <v>81</v>
      </c>
      <c r="E250">
        <v>1</v>
      </c>
      <c r="F250" t="s">
        <v>341</v>
      </c>
      <c r="H250" t="s">
        <v>342</v>
      </c>
      <c r="I250" t="str">
        <f>IF(ISBLANK(H250),"",INDEX(Sheet1!$F$2:$F$936,MATCH(H250,Sheet1!$C$2:$C$936,0)))</f>
        <v>China</v>
      </c>
      <c r="J250">
        <v>374486</v>
      </c>
      <c r="M250">
        <v>422798.68310000002</v>
      </c>
      <c r="N250">
        <v>1E-4</v>
      </c>
    </row>
    <row r="251" spans="1:14" x14ac:dyDescent="0.35">
      <c r="A251" s="1">
        <v>45657</v>
      </c>
      <c r="B251" t="s">
        <v>14</v>
      </c>
      <c r="C251" t="s">
        <v>15</v>
      </c>
      <c r="D251" t="s">
        <v>81</v>
      </c>
      <c r="E251">
        <v>1</v>
      </c>
      <c r="F251" t="s">
        <v>343</v>
      </c>
      <c r="H251" t="s">
        <v>344</v>
      </c>
      <c r="I251" t="str">
        <f>IF(ISBLANK(H251),"",INDEX(Sheet1!$F$2:$F$936,MATCH(H251,Sheet1!$C$2:$C$936,0)))</f>
        <v>HKD</v>
      </c>
      <c r="J251">
        <v>123079</v>
      </c>
      <c r="M251">
        <v>1023625.781</v>
      </c>
      <c r="N251">
        <v>1E-4</v>
      </c>
    </row>
    <row r="252" spans="1:14" x14ac:dyDescent="0.35">
      <c r="A252" s="1">
        <v>45657</v>
      </c>
      <c r="B252" t="s">
        <v>14</v>
      </c>
      <c r="C252" t="s">
        <v>15</v>
      </c>
      <c r="D252" t="s">
        <v>81</v>
      </c>
      <c r="E252">
        <v>1</v>
      </c>
      <c r="F252" t="s">
        <v>345</v>
      </c>
      <c r="H252" t="s">
        <v>346</v>
      </c>
      <c r="I252" t="str">
        <f>IF(ISBLANK(H252),"",INDEX(Sheet1!$F$2:$F$936,MATCH(H252,Sheet1!$C$2:$C$936,0)))</f>
        <v>CN</v>
      </c>
      <c r="J252">
        <v>981714</v>
      </c>
      <c r="M252">
        <v>1071623.398</v>
      </c>
      <c r="N252">
        <v>1E-4</v>
      </c>
    </row>
    <row r="253" spans="1:14" x14ac:dyDescent="0.35">
      <c r="A253" s="1">
        <v>45657</v>
      </c>
      <c r="B253" t="s">
        <v>14</v>
      </c>
      <c r="C253" t="s">
        <v>15</v>
      </c>
      <c r="D253" t="s">
        <v>81</v>
      </c>
      <c r="E253">
        <v>1</v>
      </c>
      <c r="F253" t="s">
        <v>347</v>
      </c>
      <c r="H253">
        <v>6192150</v>
      </c>
      <c r="I253" t="str">
        <f>IF(ISBLANK(H253),"",INDEX(Sheet1!$F$2:$F$936,MATCH(H253,Sheet1!$C$2:$C$936,0)))</f>
        <v>HK</v>
      </c>
      <c r="J253">
        <v>347362</v>
      </c>
      <c r="M253">
        <v>894131.05350000004</v>
      </c>
      <c r="N253">
        <v>1E-4</v>
      </c>
    </row>
    <row r="254" spans="1:14" x14ac:dyDescent="0.35">
      <c r="A254" s="1">
        <v>45657</v>
      </c>
      <c r="B254" t="s">
        <v>14</v>
      </c>
      <c r="C254" t="s">
        <v>15</v>
      </c>
      <c r="D254" t="s">
        <v>81</v>
      </c>
      <c r="E254">
        <v>1</v>
      </c>
      <c r="F254" t="s">
        <v>348</v>
      </c>
      <c r="H254">
        <v>6535517</v>
      </c>
      <c r="I254" t="str">
        <f>IF(ISBLANK(H254),"",INDEX(Sheet1!$F$2:$F$936,MATCH(H254,Sheet1!$C$2:$C$936,0)))</f>
        <v>HKD</v>
      </c>
      <c r="J254">
        <v>60489</v>
      </c>
      <c r="M254">
        <v>386743.16379999998</v>
      </c>
      <c r="N254">
        <v>1E-4</v>
      </c>
    </row>
    <row r="255" spans="1:14" x14ac:dyDescent="0.35">
      <c r="A255" s="1">
        <v>45657</v>
      </c>
      <c r="B255" t="s">
        <v>14</v>
      </c>
      <c r="C255" t="s">
        <v>15</v>
      </c>
      <c r="D255" t="s">
        <v>81</v>
      </c>
      <c r="E255">
        <v>1</v>
      </c>
      <c r="F255" t="s">
        <v>349</v>
      </c>
      <c r="H255">
        <v>6193766</v>
      </c>
      <c r="I255" t="str">
        <f>IF(ISBLANK(H255),"",INDEX(Sheet1!$F$2:$F$936,MATCH(H255,Sheet1!$C$2:$C$936,0)))</f>
        <v>HKD</v>
      </c>
      <c r="J255">
        <v>210576</v>
      </c>
      <c r="M255">
        <v>985118.53020000004</v>
      </c>
      <c r="N255">
        <v>1E-4</v>
      </c>
    </row>
    <row r="256" spans="1:14" x14ac:dyDescent="0.35">
      <c r="A256" s="1">
        <v>45657</v>
      </c>
      <c r="B256" t="s">
        <v>14</v>
      </c>
      <c r="C256" t="s">
        <v>15</v>
      </c>
      <c r="D256" t="s">
        <v>81</v>
      </c>
      <c r="E256">
        <v>1</v>
      </c>
      <c r="F256" t="s">
        <v>350</v>
      </c>
      <c r="H256" t="s">
        <v>351</v>
      </c>
      <c r="I256" t="str">
        <f>IF(ISBLANK(H256),"",INDEX(Sheet1!$F$2:$F$936,MATCH(H256,Sheet1!$C$2:$C$936,0)))</f>
        <v>United States</v>
      </c>
      <c r="J256">
        <v>23639</v>
      </c>
      <c r="M256">
        <v>2302594.9180000001</v>
      </c>
      <c r="N256">
        <v>2.9999999999999997E-4</v>
      </c>
    </row>
    <row r="257" spans="1:14" x14ac:dyDescent="0.35">
      <c r="A257" s="1">
        <v>45657</v>
      </c>
      <c r="B257" t="s">
        <v>14</v>
      </c>
      <c r="C257" t="s">
        <v>15</v>
      </c>
      <c r="D257" t="s">
        <v>81</v>
      </c>
      <c r="E257">
        <v>1</v>
      </c>
      <c r="F257" t="s">
        <v>352</v>
      </c>
      <c r="H257">
        <v>5962280</v>
      </c>
      <c r="I257" t="str">
        <f>IF(ISBLANK(H257),"",INDEX(Sheet1!$F$2:$F$936,MATCH(H257,Sheet1!$C$2:$C$936,0)))</f>
        <v>CH</v>
      </c>
      <c r="J257">
        <v>110</v>
      </c>
      <c r="M257">
        <v>1960270.267</v>
      </c>
      <c r="N257">
        <v>2.9999999999999997E-4</v>
      </c>
    </row>
    <row r="258" spans="1:14" x14ac:dyDescent="0.35">
      <c r="A258" s="1">
        <v>45657</v>
      </c>
      <c r="B258" t="s">
        <v>14</v>
      </c>
      <c r="C258" t="s">
        <v>15</v>
      </c>
      <c r="D258" t="s">
        <v>81</v>
      </c>
      <c r="E258">
        <v>1</v>
      </c>
      <c r="F258" t="s">
        <v>352</v>
      </c>
      <c r="H258">
        <v>5962309</v>
      </c>
      <c r="I258" t="str">
        <f>IF(ISBLANK(H258),"",INDEX(Sheet1!$F$2:$F$936,MATCH(H258,Sheet1!$C$2:$C$936,0)))</f>
        <v>Switzerland</v>
      </c>
      <c r="J258">
        <v>1</v>
      </c>
      <c r="M258">
        <v>205836.4884</v>
      </c>
      <c r="N258">
        <v>0</v>
      </c>
    </row>
    <row r="259" spans="1:14" x14ac:dyDescent="0.35">
      <c r="A259" s="1">
        <v>45657</v>
      </c>
      <c r="B259" t="s">
        <v>14</v>
      </c>
      <c r="C259" t="s">
        <v>15</v>
      </c>
      <c r="D259" t="s">
        <v>81</v>
      </c>
      <c r="E259">
        <v>1</v>
      </c>
      <c r="F259" t="s">
        <v>353</v>
      </c>
      <c r="H259" t="s">
        <v>354</v>
      </c>
      <c r="I259" t="str">
        <f>IF(ISBLANK(H259),"",INDEX(Sheet1!$F$2:$F$936,MATCH(H259,Sheet1!$C$2:$C$936,0)))</f>
        <v>NZD</v>
      </c>
      <c r="J259">
        <v>237260</v>
      </c>
      <c r="M259">
        <v>1826903.1810000001</v>
      </c>
      <c r="N259">
        <v>2.9999999999999997E-4</v>
      </c>
    </row>
    <row r="260" spans="1:14" x14ac:dyDescent="0.35">
      <c r="A260" s="1">
        <v>45657</v>
      </c>
      <c r="B260" t="s">
        <v>14</v>
      </c>
      <c r="C260" t="s">
        <v>15</v>
      </c>
      <c r="D260" t="s">
        <v>81</v>
      </c>
      <c r="E260">
        <v>1</v>
      </c>
      <c r="F260" t="s">
        <v>355</v>
      </c>
      <c r="H260" t="s">
        <v>356</v>
      </c>
      <c r="I260" t="str">
        <f>IF(ISBLANK(H260),"",INDEX(Sheet1!$F$2:$F$936,MATCH(H260,Sheet1!$C$2:$C$936,0)))</f>
        <v>United States</v>
      </c>
      <c r="J260">
        <v>1782</v>
      </c>
      <c r="M260">
        <v>795468.55310000002</v>
      </c>
      <c r="N260">
        <v>1E-4</v>
      </c>
    </row>
    <row r="261" spans="1:14" x14ac:dyDescent="0.35">
      <c r="A261" s="1">
        <v>45657</v>
      </c>
      <c r="B261" t="s">
        <v>14</v>
      </c>
      <c r="C261" t="s">
        <v>15</v>
      </c>
      <c r="D261" t="s">
        <v>81</v>
      </c>
      <c r="E261">
        <v>1</v>
      </c>
      <c r="F261" t="s">
        <v>357</v>
      </c>
      <c r="H261">
        <v>6195609</v>
      </c>
      <c r="I261" t="str">
        <f>IF(ISBLANK(H261),"",INDEX(Sheet1!$F$2:$F$936,MATCH(H261,Sheet1!$C$2:$C$936,0)))</f>
        <v>Japan</v>
      </c>
      <c r="J261">
        <v>99105</v>
      </c>
      <c r="M261">
        <v>1685600.0919999999</v>
      </c>
      <c r="N261">
        <v>2.0000000000000001E-4</v>
      </c>
    </row>
    <row r="262" spans="1:14" x14ac:dyDescent="0.35">
      <c r="A262" s="1">
        <v>45657</v>
      </c>
      <c r="B262" t="s">
        <v>14</v>
      </c>
      <c r="C262" t="s">
        <v>15</v>
      </c>
      <c r="D262" t="s">
        <v>81</v>
      </c>
      <c r="E262">
        <v>1</v>
      </c>
      <c r="F262" t="s">
        <v>358</v>
      </c>
      <c r="H262" t="s">
        <v>359</v>
      </c>
      <c r="I262" t="str">
        <f>IF(ISBLANK(H262),"",INDEX(Sheet1!$F$2:$F$936,MATCH(H262,Sheet1!$C$2:$C$936,0)))</f>
        <v>BRL</v>
      </c>
      <c r="M262">
        <v>0</v>
      </c>
      <c r="N262">
        <v>0</v>
      </c>
    </row>
    <row r="263" spans="1:14" x14ac:dyDescent="0.35">
      <c r="A263" s="1">
        <v>45657</v>
      </c>
      <c r="B263" t="s">
        <v>14</v>
      </c>
      <c r="C263" t="s">
        <v>15</v>
      </c>
      <c r="D263" t="s">
        <v>81</v>
      </c>
      <c r="E263">
        <v>1</v>
      </c>
      <c r="F263" t="s">
        <v>360</v>
      </c>
      <c r="H263" t="s">
        <v>361</v>
      </c>
      <c r="I263" t="str">
        <f>IF(ISBLANK(H263),"",INDEX(Sheet1!$F$2:$F$936,MATCH(H263,Sheet1!$C$2:$C$936,0)))</f>
        <v>Brazil</v>
      </c>
      <c r="J263">
        <v>454492</v>
      </c>
      <c r="M263">
        <v>1318911.8959999999</v>
      </c>
      <c r="N263">
        <v>2.0000000000000001E-4</v>
      </c>
    </row>
    <row r="264" spans="1:14" x14ac:dyDescent="0.35">
      <c r="A264" s="1">
        <v>45657</v>
      </c>
      <c r="B264" t="s">
        <v>14</v>
      </c>
      <c r="C264" t="s">
        <v>15</v>
      </c>
      <c r="D264" t="s">
        <v>81</v>
      </c>
      <c r="E264">
        <v>1</v>
      </c>
      <c r="F264" t="s">
        <v>362</v>
      </c>
      <c r="H264">
        <v>2200154</v>
      </c>
      <c r="I264" t="str">
        <f>IF(ISBLANK(H264),"",INDEX(Sheet1!$F$2:$F$936,MATCH(H264,Sheet1!$C$2:$C$936,0)))</f>
        <v>BRL</v>
      </c>
      <c r="J264">
        <v>68306</v>
      </c>
      <c r="M264">
        <v>163397.65530000001</v>
      </c>
      <c r="N264">
        <v>0</v>
      </c>
    </row>
    <row r="265" spans="1:14" x14ac:dyDescent="0.35">
      <c r="A265" s="1">
        <v>45657</v>
      </c>
      <c r="B265" t="s">
        <v>14</v>
      </c>
      <c r="C265" t="s">
        <v>15</v>
      </c>
      <c r="D265" t="s">
        <v>81</v>
      </c>
      <c r="E265">
        <v>1</v>
      </c>
      <c r="F265" t="s">
        <v>363</v>
      </c>
      <c r="H265">
        <v>7380482</v>
      </c>
      <c r="I265" t="str">
        <f>IF(ISBLANK(H265),"",INDEX(Sheet1!$F$2:$F$936,MATCH(H265,Sheet1!$C$2:$C$936,0)))</f>
        <v>France</v>
      </c>
      <c r="J265">
        <v>13876</v>
      </c>
      <c r="M265">
        <v>1988897.037</v>
      </c>
      <c r="N265">
        <v>2.9999999999999997E-4</v>
      </c>
    </row>
    <row r="266" spans="1:14" x14ac:dyDescent="0.35">
      <c r="A266" s="1">
        <v>45657</v>
      </c>
      <c r="B266" t="s">
        <v>14</v>
      </c>
      <c r="C266" t="s">
        <v>15</v>
      </c>
      <c r="D266" t="s">
        <v>81</v>
      </c>
      <c r="E266">
        <v>1</v>
      </c>
      <c r="F266" t="s">
        <v>364</v>
      </c>
      <c r="H266" t="s">
        <v>365</v>
      </c>
      <c r="I266" t="str">
        <f>IF(ISBLANK(H266),"",INDEX(Sheet1!$F$2:$F$936,MATCH(H266,Sheet1!$C$2:$C$936,0)))</f>
        <v>United States</v>
      </c>
      <c r="J266">
        <v>26128</v>
      </c>
      <c r="M266">
        <v>11658922.539999999</v>
      </c>
      <c r="N266">
        <v>1.6000000000000001E-3</v>
      </c>
    </row>
    <row r="267" spans="1:14" x14ac:dyDescent="0.35">
      <c r="A267" s="1">
        <v>45657</v>
      </c>
      <c r="B267" t="s">
        <v>14</v>
      </c>
      <c r="C267" t="s">
        <v>15</v>
      </c>
      <c r="D267" t="s">
        <v>81</v>
      </c>
      <c r="E267">
        <v>1</v>
      </c>
      <c r="F267" t="s">
        <v>366</v>
      </c>
      <c r="H267">
        <v>6075745</v>
      </c>
      <c r="I267" t="str">
        <f>IF(ISBLANK(H267),"",INDEX(Sheet1!$F$2:$F$936,MATCH(H267,Sheet1!$C$2:$C$936,0)))</f>
        <v>Malaysia</v>
      </c>
      <c r="J267">
        <v>549538</v>
      </c>
      <c r="M267">
        <v>1627656.703</v>
      </c>
      <c r="N267">
        <v>2.0000000000000001E-4</v>
      </c>
    </row>
    <row r="268" spans="1:14" x14ac:dyDescent="0.35">
      <c r="A268" s="1">
        <v>45657</v>
      </c>
      <c r="B268" t="s">
        <v>14</v>
      </c>
      <c r="C268" t="s">
        <v>15</v>
      </c>
      <c r="D268" t="s">
        <v>81</v>
      </c>
      <c r="E268">
        <v>1</v>
      </c>
      <c r="F268" t="s">
        <v>367</v>
      </c>
      <c r="H268">
        <v>2196888</v>
      </c>
      <c r="I268" t="str">
        <f>IF(ISBLANK(H268),"",INDEX(Sheet1!$F$2:$F$936,MATCH(H268,Sheet1!$C$2:$C$936,0)))</f>
        <v>United States</v>
      </c>
      <c r="J268">
        <v>14336</v>
      </c>
      <c r="M268">
        <v>3327522.8670000001</v>
      </c>
      <c r="N268">
        <v>5.0000000000000001E-4</v>
      </c>
    </row>
    <row r="269" spans="1:14" x14ac:dyDescent="0.35">
      <c r="A269" s="1">
        <v>45657</v>
      </c>
      <c r="B269" t="s">
        <v>14</v>
      </c>
      <c r="C269" t="s">
        <v>15</v>
      </c>
      <c r="D269" t="s">
        <v>81</v>
      </c>
      <c r="E269">
        <v>1</v>
      </c>
      <c r="F269" t="s">
        <v>368</v>
      </c>
      <c r="H269">
        <v>2197137</v>
      </c>
      <c r="I269" t="str">
        <f>IF(ISBLANK(H269),"",INDEX(Sheet1!$F$2:$F$936,MATCH(H269,Sheet1!$C$2:$C$936,0)))</f>
        <v>United States</v>
      </c>
      <c r="J269">
        <v>13903</v>
      </c>
      <c r="M269">
        <v>4099902.6869999999</v>
      </c>
      <c r="N269">
        <v>5.9999999999999995E-4</v>
      </c>
    </row>
    <row r="270" spans="1:14" x14ac:dyDescent="0.35">
      <c r="A270" s="1">
        <v>45657</v>
      </c>
      <c r="B270" t="s">
        <v>14</v>
      </c>
      <c r="C270" t="s">
        <v>15</v>
      </c>
      <c r="D270" t="s">
        <v>81</v>
      </c>
      <c r="E270">
        <v>1</v>
      </c>
      <c r="F270" t="s">
        <v>369</v>
      </c>
      <c r="H270" t="s">
        <v>370</v>
      </c>
      <c r="I270" t="str">
        <f>IF(ISBLANK(H270),"",INDEX(Sheet1!$F$2:$F$936,MATCH(H270,Sheet1!$C$2:$C$936,0)))</f>
        <v>INR</v>
      </c>
      <c r="J270">
        <v>5855</v>
      </c>
      <c r="M270">
        <v>168916.65789999999</v>
      </c>
      <c r="N270">
        <v>0</v>
      </c>
    </row>
    <row r="271" spans="1:14" x14ac:dyDescent="0.35">
      <c r="A271" s="1">
        <v>45657</v>
      </c>
      <c r="B271" t="s">
        <v>14</v>
      </c>
      <c r="C271" t="s">
        <v>15</v>
      </c>
      <c r="D271" t="s">
        <v>81</v>
      </c>
      <c r="E271">
        <v>1</v>
      </c>
      <c r="F271" t="s">
        <v>371</v>
      </c>
      <c r="H271">
        <v>2198163</v>
      </c>
      <c r="I271" t="str">
        <f>IF(ISBLANK(H271),"",INDEX(Sheet1!$F$2:$F$936,MATCH(H271,Sheet1!$C$2:$C$936,0)))</f>
        <v>United States</v>
      </c>
      <c r="J271">
        <v>60056</v>
      </c>
      <c r="M271">
        <v>5739349.057</v>
      </c>
      <c r="N271">
        <v>8.0000000000000004E-4</v>
      </c>
    </row>
    <row r="272" spans="1:14" x14ac:dyDescent="0.35">
      <c r="A272" s="1">
        <v>45657</v>
      </c>
      <c r="B272" t="s">
        <v>14</v>
      </c>
      <c r="C272" t="s">
        <v>15</v>
      </c>
      <c r="D272" t="s">
        <v>81</v>
      </c>
      <c r="E272">
        <v>1</v>
      </c>
      <c r="F272" t="s">
        <v>372</v>
      </c>
      <c r="H272">
        <v>2297907</v>
      </c>
      <c r="I272" t="str">
        <f>IF(ISBLANK(H272),"",INDEX(Sheet1!$F$2:$F$936,MATCH(H272,Sheet1!$C$2:$C$936,0)))</f>
        <v>United States</v>
      </c>
      <c r="J272">
        <v>84112</v>
      </c>
      <c r="M272">
        <v>9565219.2750000004</v>
      </c>
      <c r="N272">
        <v>1.2999999999999999E-3</v>
      </c>
    </row>
    <row r="273" spans="1:14" x14ac:dyDescent="0.35">
      <c r="A273" s="1">
        <v>45657</v>
      </c>
      <c r="B273" t="s">
        <v>14</v>
      </c>
      <c r="C273" t="s">
        <v>15</v>
      </c>
      <c r="D273" t="s">
        <v>81</v>
      </c>
      <c r="E273">
        <v>1</v>
      </c>
      <c r="F273" t="s">
        <v>373</v>
      </c>
      <c r="H273" t="s">
        <v>374</v>
      </c>
      <c r="I273" t="str">
        <f>IF(ISBLANK(H273),"",INDEX(Sheet1!$F$2:$F$936,MATCH(H273,Sheet1!$C$2:$C$936,0)))</f>
        <v>United States</v>
      </c>
      <c r="J273">
        <v>46496</v>
      </c>
      <c r="M273">
        <v>3286960.9580000001</v>
      </c>
      <c r="N273">
        <v>5.0000000000000001E-4</v>
      </c>
    </row>
    <row r="274" spans="1:14" x14ac:dyDescent="0.35">
      <c r="A274" s="1">
        <v>45657</v>
      </c>
      <c r="B274" t="s">
        <v>14</v>
      </c>
      <c r="C274" t="s">
        <v>15</v>
      </c>
      <c r="D274" t="s">
        <v>81</v>
      </c>
      <c r="E274">
        <v>1</v>
      </c>
      <c r="F274" t="s">
        <v>375</v>
      </c>
      <c r="H274" t="s">
        <v>376</v>
      </c>
      <c r="I274" t="str">
        <f>IF(ISBLANK(H274),"",INDEX(Sheet1!$F$2:$F$936,MATCH(H274,Sheet1!$C$2:$C$936,0)))</f>
        <v>Hong Kong</v>
      </c>
      <c r="J274">
        <v>150203</v>
      </c>
      <c r="M274">
        <v>994684.69880000001</v>
      </c>
      <c r="N274">
        <v>1E-4</v>
      </c>
    </row>
    <row r="275" spans="1:14" x14ac:dyDescent="0.35">
      <c r="A275" s="1">
        <v>45657</v>
      </c>
      <c r="B275" t="s">
        <v>14</v>
      </c>
      <c r="C275" t="s">
        <v>15</v>
      </c>
      <c r="D275" t="s">
        <v>81</v>
      </c>
      <c r="E275">
        <v>1</v>
      </c>
      <c r="F275" t="s">
        <v>377</v>
      </c>
      <c r="H275" t="s">
        <v>378</v>
      </c>
      <c r="I275" t="str">
        <f>IF(ISBLANK(H275),"",INDEX(Sheet1!$F$2:$F$936,MATCH(H275,Sheet1!$C$2:$C$936,0)))</f>
        <v>Australia</v>
      </c>
      <c r="J275">
        <v>1484245</v>
      </c>
      <c r="M275">
        <v>3933248.4210000001</v>
      </c>
      <c r="N275">
        <v>5.0000000000000001E-4</v>
      </c>
    </row>
    <row r="276" spans="1:14" x14ac:dyDescent="0.35">
      <c r="A276" s="1">
        <v>45657</v>
      </c>
      <c r="B276" t="s">
        <v>14</v>
      </c>
      <c r="C276" t="s">
        <v>15</v>
      </c>
      <c r="D276" t="s">
        <v>81</v>
      </c>
      <c r="E276">
        <v>1</v>
      </c>
      <c r="F276" t="s">
        <v>379</v>
      </c>
      <c r="H276">
        <v>2204026</v>
      </c>
      <c r="I276" t="str">
        <f>IF(ISBLANK(H276),"",INDEX(Sheet1!$F$2:$F$936,MATCH(H276,Sheet1!$C$2:$C$936,0)))</f>
        <v>United States</v>
      </c>
      <c r="J276">
        <v>5298</v>
      </c>
      <c r="M276">
        <v>1390554.0330000001</v>
      </c>
      <c r="N276">
        <v>2.0000000000000001E-4</v>
      </c>
    </row>
    <row r="277" spans="1:14" x14ac:dyDescent="0.35">
      <c r="A277" s="1">
        <v>45657</v>
      </c>
      <c r="B277" t="s">
        <v>14</v>
      </c>
      <c r="C277" t="s">
        <v>15</v>
      </c>
      <c r="D277" t="s">
        <v>81</v>
      </c>
      <c r="E277">
        <v>1</v>
      </c>
      <c r="F277" t="s">
        <v>380</v>
      </c>
      <c r="H277" t="s">
        <v>381</v>
      </c>
      <c r="I277" t="str">
        <f>IF(ISBLANK(H277),"",INDEX(Sheet1!$F$2:$F$936,MATCH(H277,Sheet1!$C$2:$C$936,0)))</f>
        <v>United States</v>
      </c>
      <c r="J277">
        <v>26853</v>
      </c>
      <c r="M277">
        <v>4674037.199</v>
      </c>
      <c r="N277">
        <v>5.9999999999999995E-4</v>
      </c>
    </row>
    <row r="278" spans="1:14" x14ac:dyDescent="0.35">
      <c r="A278" s="1">
        <v>45657</v>
      </c>
      <c r="B278" t="s">
        <v>14</v>
      </c>
      <c r="C278" t="s">
        <v>15</v>
      </c>
      <c r="D278" t="s">
        <v>81</v>
      </c>
      <c r="E278">
        <v>1</v>
      </c>
      <c r="F278" t="s">
        <v>382</v>
      </c>
      <c r="H278">
        <v>2965839</v>
      </c>
      <c r="I278" t="str">
        <f>IF(ISBLANK(H278),"",INDEX(Sheet1!$F$2:$F$936,MATCH(H278,Sheet1!$C$2:$C$936,0)))</f>
        <v>United States</v>
      </c>
      <c r="J278">
        <v>13042</v>
      </c>
      <c r="M278">
        <v>4891662.2549999999</v>
      </c>
      <c r="N278">
        <v>6.9999999999999891E-4</v>
      </c>
    </row>
    <row r="279" spans="1:14" x14ac:dyDescent="0.35">
      <c r="A279" s="1">
        <v>45657</v>
      </c>
      <c r="B279" t="s">
        <v>14</v>
      </c>
      <c r="C279" t="s">
        <v>15</v>
      </c>
      <c r="D279" t="s">
        <v>81</v>
      </c>
      <c r="E279">
        <v>1</v>
      </c>
      <c r="F279" t="s">
        <v>383</v>
      </c>
      <c r="H279" t="s">
        <v>384</v>
      </c>
      <c r="I279" t="str">
        <f>IF(ISBLANK(H279),"",INDEX(Sheet1!$F$2:$F$936,MATCH(H279,Sheet1!$C$2:$C$936,0)))</f>
        <v>CNY</v>
      </c>
      <c r="J279">
        <v>667542</v>
      </c>
      <c r="M279">
        <v>982259.96790000005</v>
      </c>
      <c r="N279">
        <v>1E-4</v>
      </c>
    </row>
    <row r="280" spans="1:14" x14ac:dyDescent="0.35">
      <c r="A280" s="1">
        <v>45657</v>
      </c>
      <c r="B280" t="s">
        <v>14</v>
      </c>
      <c r="C280" t="s">
        <v>15</v>
      </c>
      <c r="D280" t="s">
        <v>81</v>
      </c>
      <c r="E280">
        <v>1</v>
      </c>
      <c r="F280" t="s">
        <v>385</v>
      </c>
      <c r="H280">
        <v>2206657</v>
      </c>
      <c r="I280" t="str">
        <f>IF(ISBLANK(H280),"",INDEX(Sheet1!$F$2:$F$936,MATCH(H280,Sheet1!$C$2:$C$936,0)))</f>
        <v>United States</v>
      </c>
      <c r="J280">
        <v>32283</v>
      </c>
      <c r="M280">
        <v>3247373.0750000002</v>
      </c>
      <c r="N280">
        <v>5.0000000000000001E-4</v>
      </c>
    </row>
    <row r="281" spans="1:14" x14ac:dyDescent="0.35">
      <c r="A281" s="1">
        <v>45657</v>
      </c>
      <c r="B281" t="s">
        <v>14</v>
      </c>
      <c r="C281" t="s">
        <v>15</v>
      </c>
      <c r="D281" t="s">
        <v>81</v>
      </c>
      <c r="E281">
        <v>1</v>
      </c>
      <c r="F281" t="s">
        <v>386</v>
      </c>
      <c r="H281" t="s">
        <v>387</v>
      </c>
      <c r="I281" t="str">
        <f>IF(ISBLANK(H281),"",INDEX(Sheet1!$F$2:$F$936,MATCH(H281,Sheet1!$C$2:$C$936,0)))</f>
        <v>United Kingdom</v>
      </c>
      <c r="J281">
        <v>2655</v>
      </c>
      <c r="M281">
        <v>329285.98369999998</v>
      </c>
      <c r="N281">
        <v>0</v>
      </c>
    </row>
    <row r="282" spans="1:14" x14ac:dyDescent="0.35">
      <c r="A282" s="1">
        <v>45657</v>
      </c>
      <c r="B282" t="s">
        <v>14</v>
      </c>
      <c r="C282" t="s">
        <v>15</v>
      </c>
      <c r="D282" t="s">
        <v>81</v>
      </c>
      <c r="E282">
        <v>1</v>
      </c>
      <c r="F282" t="s">
        <v>388</v>
      </c>
      <c r="H282" t="s">
        <v>389</v>
      </c>
      <c r="I282" t="str">
        <f>IF(ISBLANK(H282),"",INDEX(Sheet1!$F$2:$F$936,MATCH(H282,Sheet1!$C$2:$C$936,0)))</f>
        <v>Mexico</v>
      </c>
      <c r="J282">
        <v>56874</v>
      </c>
      <c r="M282">
        <v>712724.8763</v>
      </c>
      <c r="N282">
        <v>1E-4</v>
      </c>
    </row>
    <row r="283" spans="1:14" x14ac:dyDescent="0.35">
      <c r="A283" s="1">
        <v>45657</v>
      </c>
      <c r="B283" t="s">
        <v>14</v>
      </c>
      <c r="C283" t="s">
        <v>15</v>
      </c>
      <c r="D283" t="s">
        <v>81</v>
      </c>
      <c r="E283">
        <v>1</v>
      </c>
      <c r="F283" t="s">
        <v>390</v>
      </c>
      <c r="H283" t="s">
        <v>391</v>
      </c>
      <c r="I283" t="str">
        <f>IF(ISBLANK(H283),"",INDEX(Sheet1!$F$2:$F$936,MATCH(H283,Sheet1!$C$2:$C$936,0)))</f>
        <v>United Kingdom</v>
      </c>
      <c r="J283">
        <v>52251</v>
      </c>
      <c r="M283">
        <v>2887523.0359999998</v>
      </c>
      <c r="N283">
        <v>4.0000000000000002E-4</v>
      </c>
    </row>
    <row r="284" spans="1:14" x14ac:dyDescent="0.35">
      <c r="A284" s="1">
        <v>45657</v>
      </c>
      <c r="B284" t="s">
        <v>14</v>
      </c>
      <c r="C284" t="s">
        <v>15</v>
      </c>
      <c r="D284" t="s">
        <v>81</v>
      </c>
      <c r="E284">
        <v>1</v>
      </c>
      <c r="F284" t="s">
        <v>392</v>
      </c>
      <c r="H284">
        <v>6211798</v>
      </c>
      <c r="I284" t="str">
        <f>IF(ISBLANK(H284),"",INDEX(Sheet1!$F$2:$F$936,MATCH(H284,Sheet1!$C$2:$C$936,0)))</f>
        <v>Australia</v>
      </c>
      <c r="J284">
        <v>46052</v>
      </c>
      <c r="M284">
        <v>13349458.77</v>
      </c>
      <c r="N284">
        <v>1.8E-3</v>
      </c>
    </row>
    <row r="285" spans="1:14" x14ac:dyDescent="0.35">
      <c r="A285" s="1">
        <v>45657</v>
      </c>
      <c r="B285" t="s">
        <v>14</v>
      </c>
      <c r="C285" t="s">
        <v>15</v>
      </c>
      <c r="D285" t="s">
        <v>81</v>
      </c>
      <c r="E285">
        <v>1</v>
      </c>
      <c r="F285" t="s">
        <v>393</v>
      </c>
      <c r="H285">
        <v>6712611</v>
      </c>
      <c r="I285" t="str">
        <f>IF(ISBLANK(H285),"",INDEX(Sheet1!$F$2:$F$936,MATCH(H285,Sheet1!$C$2:$C$936,0)))</f>
        <v>AUD</v>
      </c>
      <c r="J285">
        <v>137874</v>
      </c>
      <c r="M285">
        <v>2218394.003</v>
      </c>
      <c r="N285">
        <v>2.9999999999999997E-4</v>
      </c>
    </row>
    <row r="286" spans="1:14" x14ac:dyDescent="0.35">
      <c r="A286" s="1">
        <v>45657</v>
      </c>
      <c r="B286" t="s">
        <v>14</v>
      </c>
      <c r="C286" t="s">
        <v>15</v>
      </c>
      <c r="D286" t="s">
        <v>81</v>
      </c>
      <c r="E286">
        <v>1</v>
      </c>
      <c r="F286" t="s">
        <v>394</v>
      </c>
      <c r="H286" t="s">
        <v>395</v>
      </c>
      <c r="I286" t="str">
        <f>IF(ISBLANK(H286),"",INDEX(Sheet1!$F$2:$F$936,MATCH(H286,Sheet1!$C$2:$C$936,0)))</f>
        <v>Australia</v>
      </c>
      <c r="J286">
        <v>516497</v>
      </c>
      <c r="M286">
        <v>9756619.3719999995</v>
      </c>
      <c r="N286">
        <v>1.3999999999999898E-3</v>
      </c>
    </row>
    <row r="287" spans="1:14" x14ac:dyDescent="0.35">
      <c r="A287" s="1">
        <v>45657</v>
      </c>
      <c r="B287" t="s">
        <v>14</v>
      </c>
      <c r="C287" t="s">
        <v>15</v>
      </c>
      <c r="D287" t="s">
        <v>81</v>
      </c>
      <c r="E287">
        <v>1</v>
      </c>
      <c r="F287" t="s">
        <v>396</v>
      </c>
      <c r="H287">
        <v>2209106</v>
      </c>
      <c r="I287" t="str">
        <f>IF(ISBLANK(H287),"",INDEX(Sheet1!$F$2:$F$936,MATCH(H287,Sheet1!$C$2:$C$936,0)))</f>
        <v>United States</v>
      </c>
      <c r="J287">
        <v>30872</v>
      </c>
      <c r="M287">
        <v>4533999.3449999997</v>
      </c>
      <c r="N287">
        <v>5.9999999999999995E-4</v>
      </c>
    </row>
    <row r="288" spans="1:14" x14ac:dyDescent="0.35">
      <c r="A288" s="1">
        <v>45657</v>
      </c>
      <c r="B288" t="s">
        <v>14</v>
      </c>
      <c r="C288" t="s">
        <v>15</v>
      </c>
      <c r="D288" t="s">
        <v>81</v>
      </c>
      <c r="E288">
        <v>1</v>
      </c>
      <c r="F288" t="s">
        <v>397</v>
      </c>
      <c r="H288">
        <v>6139696</v>
      </c>
      <c r="I288" t="str">
        <f>IF(ISBLANK(H288),"",INDEX(Sheet1!$F$2:$F$936,MATCH(H288,Sheet1!$C$2:$C$936,0)))</f>
        <v>INR</v>
      </c>
      <c r="J288">
        <v>17642</v>
      </c>
      <c r="M288">
        <v>892968.07479999994</v>
      </c>
      <c r="N288">
        <v>1E-4</v>
      </c>
    </row>
    <row r="289" spans="1:14" x14ac:dyDescent="0.35">
      <c r="A289" s="1">
        <v>45657</v>
      </c>
      <c r="B289" t="s">
        <v>14</v>
      </c>
      <c r="C289" t="s">
        <v>15</v>
      </c>
      <c r="D289" t="s">
        <v>81</v>
      </c>
      <c r="E289">
        <v>1</v>
      </c>
      <c r="F289" t="s">
        <v>398</v>
      </c>
      <c r="H289" t="s">
        <v>399</v>
      </c>
      <c r="I289" t="str">
        <f>IF(ISBLANK(H289),"",INDEX(Sheet1!$F$2:$F$936,MATCH(H289,Sheet1!$C$2:$C$936,0)))</f>
        <v>AUD</v>
      </c>
      <c r="J289">
        <v>28426</v>
      </c>
      <c r="M289">
        <v>206373.4216</v>
      </c>
      <c r="N289">
        <v>0</v>
      </c>
    </row>
    <row r="290" spans="1:14" x14ac:dyDescent="0.35">
      <c r="A290" s="1">
        <v>45657</v>
      </c>
      <c r="B290" t="s">
        <v>14</v>
      </c>
      <c r="C290" t="s">
        <v>15</v>
      </c>
      <c r="D290" t="s">
        <v>81</v>
      </c>
      <c r="E290">
        <v>1</v>
      </c>
      <c r="F290" t="s">
        <v>400</v>
      </c>
      <c r="H290">
        <v>2044545</v>
      </c>
      <c r="I290" t="str">
        <f>IF(ISBLANK(H290),"",INDEX(Sheet1!$F$2:$F$936,MATCH(H290,Sheet1!$C$2:$C$936,0)))</f>
        <v>United States</v>
      </c>
      <c r="J290">
        <v>7946</v>
      </c>
      <c r="M290">
        <v>481642.3088</v>
      </c>
      <c r="N290">
        <v>1E-4</v>
      </c>
    </row>
    <row r="291" spans="1:14" x14ac:dyDescent="0.35">
      <c r="A291" s="1">
        <v>45657</v>
      </c>
      <c r="B291" t="s">
        <v>14</v>
      </c>
      <c r="C291" t="s">
        <v>15</v>
      </c>
      <c r="D291" t="s">
        <v>81</v>
      </c>
      <c r="E291">
        <v>1</v>
      </c>
      <c r="F291" t="s">
        <v>401</v>
      </c>
      <c r="H291" t="s">
        <v>402</v>
      </c>
      <c r="I291" t="str">
        <f>IF(ISBLANK(H291),"",INDEX(Sheet1!$F$2:$F$936,MATCH(H291,Sheet1!$C$2:$C$936,0)))</f>
        <v>Germany</v>
      </c>
      <c r="J291">
        <v>98647</v>
      </c>
      <c r="M291">
        <v>2584463.423</v>
      </c>
      <c r="N291">
        <v>4.0000000000000002E-4</v>
      </c>
    </row>
    <row r="292" spans="1:14" x14ac:dyDescent="0.35">
      <c r="A292" s="1">
        <v>45657</v>
      </c>
      <c r="B292" t="s">
        <v>14</v>
      </c>
      <c r="C292" t="s">
        <v>15</v>
      </c>
      <c r="D292" t="s">
        <v>81</v>
      </c>
      <c r="E292">
        <v>1</v>
      </c>
      <c r="F292" t="s">
        <v>403</v>
      </c>
      <c r="H292">
        <v>6215035</v>
      </c>
      <c r="I292" t="str">
        <f>IF(ISBLANK(H292),"",INDEX(Sheet1!$F$2:$F$936,MATCH(H292,Sheet1!$C$2:$C$936,0)))</f>
        <v>Australia</v>
      </c>
      <c r="J292">
        <v>878916</v>
      </c>
      <c r="M292">
        <v>134693924.40000001</v>
      </c>
      <c r="N292">
        <v>1.8599999999999901E-2</v>
      </c>
    </row>
    <row r="293" spans="1:14" x14ac:dyDescent="0.35">
      <c r="A293" s="1">
        <v>45657</v>
      </c>
      <c r="B293" t="s">
        <v>14</v>
      </c>
      <c r="C293" t="s">
        <v>15</v>
      </c>
      <c r="D293" t="s">
        <v>81</v>
      </c>
      <c r="E293">
        <v>1</v>
      </c>
      <c r="F293" t="s">
        <v>404</v>
      </c>
      <c r="H293" t="s">
        <v>405</v>
      </c>
      <c r="I293" t="str">
        <f>IF(ISBLANK(H293),"",INDEX(Sheet1!$F$2:$F$936,MATCH(H293,Sheet1!$C$2:$C$936,0)))</f>
        <v>United Kingdom</v>
      </c>
      <c r="J293">
        <v>118702</v>
      </c>
      <c r="M293">
        <v>6384433.4129999997</v>
      </c>
      <c r="N293">
        <v>8.9999999999999998E-4</v>
      </c>
    </row>
    <row r="294" spans="1:14" x14ac:dyDescent="0.35">
      <c r="A294" s="1">
        <v>45657</v>
      </c>
      <c r="B294" t="s">
        <v>14</v>
      </c>
      <c r="C294" t="s">
        <v>15</v>
      </c>
      <c r="D294" t="s">
        <v>81</v>
      </c>
      <c r="E294">
        <v>1</v>
      </c>
      <c r="F294" t="s">
        <v>406</v>
      </c>
      <c r="H294">
        <v>6180412</v>
      </c>
      <c r="I294" t="str">
        <f>IF(ISBLANK(H294),"",INDEX(Sheet1!$F$2:$F$936,MATCH(H294,Sheet1!$C$2:$C$936,0)))</f>
        <v>Australia</v>
      </c>
      <c r="J294">
        <v>213779</v>
      </c>
      <c r="M294">
        <v>7257800.0580000002</v>
      </c>
      <c r="N294">
        <v>1E-3</v>
      </c>
    </row>
    <row r="295" spans="1:14" x14ac:dyDescent="0.35">
      <c r="A295" s="1">
        <v>45657</v>
      </c>
      <c r="B295" t="s">
        <v>14</v>
      </c>
      <c r="C295" t="s">
        <v>15</v>
      </c>
      <c r="D295" t="s">
        <v>81</v>
      </c>
      <c r="E295">
        <v>1</v>
      </c>
      <c r="F295" t="s">
        <v>407</v>
      </c>
      <c r="H295">
        <v>2685717</v>
      </c>
      <c r="I295" t="str">
        <f>IF(ISBLANK(H295),"",INDEX(Sheet1!$F$2:$F$936,MATCH(H295,Sheet1!$C$2:$C$936,0)))</f>
        <v>United States</v>
      </c>
      <c r="J295">
        <v>2048</v>
      </c>
      <c r="M295">
        <v>327999.01610000001</v>
      </c>
      <c r="N295">
        <v>0</v>
      </c>
    </row>
    <row r="296" spans="1:14" x14ac:dyDescent="0.35">
      <c r="A296" s="1">
        <v>45657</v>
      </c>
      <c r="B296" t="s">
        <v>14</v>
      </c>
      <c r="C296" t="s">
        <v>15</v>
      </c>
      <c r="D296" t="s">
        <v>81</v>
      </c>
      <c r="E296">
        <v>1</v>
      </c>
      <c r="F296" t="s">
        <v>408</v>
      </c>
      <c r="H296">
        <v>2216850</v>
      </c>
      <c r="I296" t="str">
        <f>IF(ISBLANK(H296),"",INDEX(Sheet1!$F$2:$F$936,MATCH(H296,Sheet1!$C$2:$C$936,0)))</f>
        <v>United States</v>
      </c>
      <c r="J296">
        <v>16746</v>
      </c>
      <c r="M296">
        <v>2412801.9019999998</v>
      </c>
      <c r="N296">
        <v>2.9999999999999997E-4</v>
      </c>
    </row>
    <row r="297" spans="1:14" x14ac:dyDescent="0.35">
      <c r="A297" s="1">
        <v>45657</v>
      </c>
      <c r="B297" t="s">
        <v>14</v>
      </c>
      <c r="C297" t="s">
        <v>15</v>
      </c>
      <c r="D297" t="s">
        <v>81</v>
      </c>
      <c r="E297">
        <v>1</v>
      </c>
      <c r="F297" t="s">
        <v>409</v>
      </c>
      <c r="H297" t="s">
        <v>410</v>
      </c>
      <c r="I297" t="str">
        <f>IF(ISBLANK(H297),"",INDEX(Sheet1!$F$2:$F$936,MATCH(H297,Sheet1!$C$2:$C$936,0)))</f>
        <v>China</v>
      </c>
      <c r="J297">
        <v>67718</v>
      </c>
      <c r="M297">
        <v>3985757.2450000001</v>
      </c>
      <c r="N297">
        <v>5.9999999999999995E-4</v>
      </c>
    </row>
    <row r="298" spans="1:14" x14ac:dyDescent="0.35">
      <c r="A298" s="1">
        <v>45657</v>
      </c>
      <c r="B298" t="s">
        <v>14</v>
      </c>
      <c r="C298" t="s">
        <v>15</v>
      </c>
      <c r="D298" t="s">
        <v>81</v>
      </c>
      <c r="E298">
        <v>1</v>
      </c>
      <c r="F298" t="s">
        <v>411</v>
      </c>
      <c r="H298" t="s">
        <v>412</v>
      </c>
      <c r="I298" t="str">
        <f>IF(ISBLANK(H298),"",INDEX(Sheet1!$F$2:$F$936,MATCH(H298,Sheet1!$C$2:$C$936,0)))</f>
        <v>United States</v>
      </c>
      <c r="J298">
        <v>15375</v>
      </c>
      <c r="M298">
        <v>2282837.0019999999</v>
      </c>
      <c r="N298">
        <v>2.9999999999999997E-4</v>
      </c>
    </row>
    <row r="299" spans="1:14" x14ac:dyDescent="0.35">
      <c r="A299" s="1">
        <v>45657</v>
      </c>
      <c r="B299" t="s">
        <v>14</v>
      </c>
      <c r="C299" t="s">
        <v>15</v>
      </c>
      <c r="D299" t="s">
        <v>81</v>
      </c>
      <c r="E299">
        <v>1</v>
      </c>
      <c r="F299" t="s">
        <v>413</v>
      </c>
      <c r="H299" t="s">
        <v>414</v>
      </c>
      <c r="I299" t="str">
        <f>IF(ISBLANK(H299),"",INDEX(Sheet1!$F$2:$F$936,MATCH(H299,Sheet1!$C$2:$C$936,0)))</f>
        <v>United States</v>
      </c>
      <c r="J299">
        <v>61168</v>
      </c>
      <c r="M299">
        <v>2956911.5</v>
      </c>
      <c r="N299">
        <v>4.0000000000000002E-4</v>
      </c>
    </row>
    <row r="300" spans="1:14" x14ac:dyDescent="0.35">
      <c r="A300" s="1">
        <v>45657</v>
      </c>
      <c r="B300" t="s">
        <v>14</v>
      </c>
      <c r="C300" t="s">
        <v>15</v>
      </c>
      <c r="D300" t="s">
        <v>81</v>
      </c>
      <c r="E300">
        <v>1</v>
      </c>
      <c r="F300" t="s">
        <v>415</v>
      </c>
      <c r="H300" t="s">
        <v>416</v>
      </c>
      <c r="I300" t="str">
        <f>IF(ISBLANK(H300),"",INDEX(Sheet1!$F$2:$F$936,MATCH(H300,Sheet1!$C$2:$C$936,0)))</f>
        <v>United States</v>
      </c>
      <c r="J300">
        <v>9320</v>
      </c>
      <c r="M300">
        <v>856922.62349999999</v>
      </c>
      <c r="N300">
        <v>1E-4</v>
      </c>
    </row>
    <row r="301" spans="1:14" x14ac:dyDescent="0.35">
      <c r="A301" s="1">
        <v>45657</v>
      </c>
      <c r="B301" t="s">
        <v>14</v>
      </c>
      <c r="C301" t="s">
        <v>15</v>
      </c>
      <c r="D301" t="s">
        <v>81</v>
      </c>
      <c r="E301">
        <v>1</v>
      </c>
      <c r="F301" t="s">
        <v>417</v>
      </c>
      <c r="H301">
        <v>2701271</v>
      </c>
      <c r="I301" t="str">
        <f>IF(ISBLANK(H301),"",INDEX(Sheet1!$F$2:$F$936,MATCH(H301,Sheet1!$C$2:$C$936,0)))</f>
        <v>United States</v>
      </c>
      <c r="J301">
        <v>7109</v>
      </c>
      <c r="M301">
        <v>10520580.1</v>
      </c>
      <c r="N301">
        <v>1.5E-3</v>
      </c>
    </row>
    <row r="302" spans="1:14" x14ac:dyDescent="0.35">
      <c r="A302" s="1">
        <v>45657</v>
      </c>
      <c r="B302" t="s">
        <v>14</v>
      </c>
      <c r="C302" t="s">
        <v>15</v>
      </c>
      <c r="D302" t="s">
        <v>81</v>
      </c>
      <c r="E302">
        <v>1</v>
      </c>
      <c r="F302" t="s">
        <v>418</v>
      </c>
      <c r="H302" t="s">
        <v>419</v>
      </c>
      <c r="I302" t="str">
        <f>IF(ISBLANK(H302),"",INDEX(Sheet1!$F$2:$F$936,MATCH(H302,Sheet1!$C$2:$C$936,0)))</f>
        <v>United States</v>
      </c>
      <c r="J302">
        <v>155139</v>
      </c>
      <c r="M302">
        <v>5507471.2130000005</v>
      </c>
      <c r="N302">
        <v>8.0000000000000004E-4</v>
      </c>
    </row>
    <row r="303" spans="1:14" x14ac:dyDescent="0.35">
      <c r="A303" s="1">
        <v>45657</v>
      </c>
      <c r="B303" t="s">
        <v>14</v>
      </c>
      <c r="C303" t="s">
        <v>15</v>
      </c>
      <c r="D303" t="s">
        <v>81</v>
      </c>
      <c r="E303">
        <v>1</v>
      </c>
      <c r="F303" t="s">
        <v>420</v>
      </c>
      <c r="H303">
        <v>6173401</v>
      </c>
      <c r="I303" t="str">
        <f>IF(ISBLANK(H303),"",INDEX(Sheet1!$F$2:$F$936,MATCH(H303,Sheet1!$C$2:$C$936,0)))</f>
        <v>South Korea</v>
      </c>
      <c r="J303">
        <v>11155</v>
      </c>
      <c r="M303">
        <v>818762.5662</v>
      </c>
      <c r="N303">
        <v>1E-4</v>
      </c>
    </row>
    <row r="304" spans="1:14" x14ac:dyDescent="0.35">
      <c r="A304" s="1">
        <v>45657</v>
      </c>
      <c r="B304" t="s">
        <v>14</v>
      </c>
      <c r="C304" t="s">
        <v>15</v>
      </c>
      <c r="D304" t="s">
        <v>81</v>
      </c>
      <c r="E304">
        <v>1</v>
      </c>
      <c r="F304" t="s">
        <v>421</v>
      </c>
      <c r="H304" t="s">
        <v>422</v>
      </c>
      <c r="I304" t="str">
        <f>IF(ISBLANK(H304),"",INDEX(Sheet1!$F$2:$F$936,MATCH(H304,Sheet1!$C$2:$C$936,0)))</f>
        <v>BRL</v>
      </c>
      <c r="J304">
        <v>105988</v>
      </c>
      <c r="M304">
        <v>875331.15179999999</v>
      </c>
      <c r="N304">
        <v>1E-4</v>
      </c>
    </row>
    <row r="305" spans="1:14" x14ac:dyDescent="0.35">
      <c r="A305" s="1">
        <v>45657</v>
      </c>
      <c r="B305" t="s">
        <v>14</v>
      </c>
      <c r="C305" t="s">
        <v>15</v>
      </c>
      <c r="D305" t="s">
        <v>81</v>
      </c>
      <c r="E305">
        <v>1</v>
      </c>
      <c r="F305" t="s">
        <v>423</v>
      </c>
      <c r="H305">
        <v>2232878</v>
      </c>
      <c r="I305" t="str">
        <f>IF(ISBLANK(H305),"",INDEX(Sheet1!$F$2:$F$936,MATCH(H305,Sheet1!$C$2:$C$936,0)))</f>
        <v>Peru</v>
      </c>
      <c r="J305">
        <v>1283</v>
      </c>
      <c r="M305">
        <v>380291.48570000002</v>
      </c>
      <c r="N305">
        <v>1E-4</v>
      </c>
    </row>
    <row r="306" spans="1:14" x14ac:dyDescent="0.35">
      <c r="A306" s="1">
        <v>45657</v>
      </c>
      <c r="B306" t="s">
        <v>14</v>
      </c>
      <c r="C306" t="s">
        <v>15</v>
      </c>
      <c r="D306" t="s">
        <v>81</v>
      </c>
      <c r="E306">
        <v>1</v>
      </c>
      <c r="F306" t="s">
        <v>424</v>
      </c>
      <c r="H306">
        <v>6287658</v>
      </c>
      <c r="I306" t="str">
        <f>IF(ISBLANK(H306),"",INDEX(Sheet1!$F$2:$F$936,MATCH(H306,Sheet1!$C$2:$C$936,0)))</f>
        <v>AUD</v>
      </c>
      <c r="J306">
        <v>63333</v>
      </c>
      <c r="M306">
        <v>1012701.483</v>
      </c>
      <c r="N306">
        <v>1E-4</v>
      </c>
    </row>
    <row r="307" spans="1:14" x14ac:dyDescent="0.35">
      <c r="A307" s="1">
        <v>45657</v>
      </c>
      <c r="B307" t="s">
        <v>14</v>
      </c>
      <c r="C307" t="s">
        <v>15</v>
      </c>
      <c r="D307" t="s">
        <v>81</v>
      </c>
      <c r="E307">
        <v>1</v>
      </c>
      <c r="F307" t="s">
        <v>425</v>
      </c>
      <c r="H307" t="s">
        <v>426</v>
      </c>
      <c r="I307" t="str">
        <f>IF(ISBLANK(H307),"",INDEX(Sheet1!$F$2:$F$936,MATCH(H307,Sheet1!$C$2:$C$936,0)))</f>
        <v>AUD</v>
      </c>
      <c r="J307">
        <v>375632</v>
      </c>
      <c r="M307">
        <v>105770336.7</v>
      </c>
      <c r="N307">
        <v>1.46E-2</v>
      </c>
    </row>
    <row r="308" spans="1:14" x14ac:dyDescent="0.35">
      <c r="A308" s="1">
        <v>45657</v>
      </c>
      <c r="B308" t="s">
        <v>14</v>
      </c>
      <c r="C308" t="s">
        <v>15</v>
      </c>
      <c r="D308" t="s">
        <v>81</v>
      </c>
      <c r="E308">
        <v>1</v>
      </c>
      <c r="F308" t="s">
        <v>427</v>
      </c>
      <c r="H308">
        <v>6527666</v>
      </c>
      <c r="I308" t="str">
        <f>IF(ISBLANK(H308),"",INDEX(Sheet1!$F$2:$F$936,MATCH(H308,Sheet1!$C$2:$C$936,0)))</f>
        <v>Taiwan</v>
      </c>
      <c r="J308">
        <v>894801</v>
      </c>
      <c r="M308">
        <v>1721404.851</v>
      </c>
      <c r="N308">
        <v>2.0000000000000001E-4</v>
      </c>
    </row>
    <row r="309" spans="1:14" x14ac:dyDescent="0.35">
      <c r="A309" s="1">
        <v>45657</v>
      </c>
      <c r="B309" t="s">
        <v>14</v>
      </c>
      <c r="C309" t="s">
        <v>15</v>
      </c>
      <c r="D309" t="s">
        <v>81</v>
      </c>
      <c r="E309">
        <v>1</v>
      </c>
      <c r="F309" t="s">
        <v>428</v>
      </c>
      <c r="H309">
        <v>2240202</v>
      </c>
      <c r="I309" t="str">
        <f>IF(ISBLANK(H309),"",INDEX(Sheet1!$F$2:$F$936,MATCH(H309,Sheet1!$C$2:$C$936,0)))</f>
        <v>United States</v>
      </c>
      <c r="J309">
        <v>7105</v>
      </c>
      <c r="M309">
        <v>4000183.0090000001</v>
      </c>
      <c r="N309">
        <v>5.9999999999999995E-4</v>
      </c>
    </row>
    <row r="310" spans="1:14" x14ac:dyDescent="0.35">
      <c r="A310" s="1">
        <v>45657</v>
      </c>
      <c r="B310" t="s">
        <v>14</v>
      </c>
      <c r="C310" t="s">
        <v>15</v>
      </c>
      <c r="D310" t="s">
        <v>81</v>
      </c>
      <c r="E310">
        <v>1</v>
      </c>
      <c r="F310" t="s">
        <v>429</v>
      </c>
      <c r="H310">
        <v>6250906</v>
      </c>
      <c r="I310" t="str">
        <f>IF(ISBLANK(H310),"",INDEX(Sheet1!$F$2:$F$936,MATCH(H310,Sheet1!$C$2:$C$936,0)))</f>
        <v>Japan</v>
      </c>
      <c r="J310">
        <v>109196</v>
      </c>
      <c r="M310">
        <v>2490154.6310000001</v>
      </c>
      <c r="N310">
        <v>2.9999999999999997E-4</v>
      </c>
    </row>
    <row r="311" spans="1:14" x14ac:dyDescent="0.35">
      <c r="A311" s="1">
        <v>45657</v>
      </c>
      <c r="B311" t="s">
        <v>14</v>
      </c>
      <c r="C311" t="s">
        <v>15</v>
      </c>
      <c r="D311" t="s">
        <v>81</v>
      </c>
      <c r="E311">
        <v>1</v>
      </c>
      <c r="F311" t="s">
        <v>430</v>
      </c>
      <c r="H311" t="s">
        <v>431</v>
      </c>
      <c r="I311" t="str">
        <f>IF(ISBLANK(H311),"",INDEX(Sheet1!$F$2:$F$936,MATCH(H311,Sheet1!$C$2:$C$936,0)))</f>
        <v>Germany</v>
      </c>
      <c r="J311">
        <v>81967</v>
      </c>
      <c r="M311">
        <v>5047527.0590000004</v>
      </c>
      <c r="N311">
        <v>6.9999999999999891E-4</v>
      </c>
    </row>
    <row r="312" spans="1:14" x14ac:dyDescent="0.35">
      <c r="A312" s="1">
        <v>45657</v>
      </c>
      <c r="B312" t="s">
        <v>14</v>
      </c>
      <c r="C312" t="s">
        <v>15</v>
      </c>
      <c r="D312" t="s">
        <v>81</v>
      </c>
      <c r="E312">
        <v>1</v>
      </c>
      <c r="F312" t="s">
        <v>432</v>
      </c>
      <c r="H312">
        <v>6250508</v>
      </c>
      <c r="I312" t="str">
        <f>IF(ISBLANK(H312),"",INDEX(Sheet1!$F$2:$F$936,MATCH(H312,Sheet1!$C$2:$C$936,0)))</f>
        <v>Japan</v>
      </c>
      <c r="J312">
        <v>17149</v>
      </c>
      <c r="M312">
        <v>3086886.3569999998</v>
      </c>
      <c r="N312">
        <v>4.0000000000000002E-4</v>
      </c>
    </row>
    <row r="313" spans="1:14" x14ac:dyDescent="0.35">
      <c r="A313" s="1">
        <v>45657</v>
      </c>
      <c r="B313" t="s">
        <v>14</v>
      </c>
      <c r="C313" t="s">
        <v>15</v>
      </c>
      <c r="D313" t="s">
        <v>81</v>
      </c>
      <c r="E313">
        <v>1</v>
      </c>
      <c r="F313" t="s">
        <v>433</v>
      </c>
      <c r="H313">
        <v>6251363</v>
      </c>
      <c r="I313" t="str">
        <f>IF(ISBLANK(H313),"",INDEX(Sheet1!$F$2:$F$936,MATCH(H313,Sheet1!$C$2:$C$936,0)))</f>
        <v>Japan</v>
      </c>
      <c r="J313">
        <v>68889</v>
      </c>
      <c r="M313">
        <v>3437888.1680000001</v>
      </c>
      <c r="N313">
        <v>5.0000000000000001E-4</v>
      </c>
    </row>
    <row r="314" spans="1:14" x14ac:dyDescent="0.35">
      <c r="A314" s="1">
        <v>45657</v>
      </c>
      <c r="B314" t="s">
        <v>14</v>
      </c>
      <c r="C314" t="s">
        <v>15</v>
      </c>
      <c r="D314" t="s">
        <v>81</v>
      </c>
      <c r="E314">
        <v>1</v>
      </c>
      <c r="F314" t="s">
        <v>434</v>
      </c>
      <c r="H314">
        <v>2250870</v>
      </c>
      <c r="I314" t="str">
        <f>IF(ISBLANK(H314),"",INDEX(Sheet1!$F$2:$F$936,MATCH(H314,Sheet1!$C$2:$C$936,0)))</f>
        <v>United States</v>
      </c>
      <c r="J314">
        <v>1182</v>
      </c>
      <c r="M314">
        <v>438479.94679999998</v>
      </c>
      <c r="N314">
        <v>1E-4</v>
      </c>
    </row>
    <row r="315" spans="1:14" x14ac:dyDescent="0.35">
      <c r="A315" s="1">
        <v>45657</v>
      </c>
      <c r="B315" t="s">
        <v>14</v>
      </c>
      <c r="C315" t="s">
        <v>15</v>
      </c>
      <c r="D315" t="s">
        <v>81</v>
      </c>
      <c r="E315">
        <v>1</v>
      </c>
      <c r="F315" t="s">
        <v>435</v>
      </c>
      <c r="H315" t="s">
        <v>436</v>
      </c>
      <c r="I315" t="str">
        <f>IF(ISBLANK(H315),"",INDEX(Sheet1!$F$2:$F$936,MATCH(H315,Sheet1!$C$2:$C$936,0)))</f>
        <v>France</v>
      </c>
      <c r="J315">
        <v>923</v>
      </c>
      <c r="M315">
        <v>99979.024399999995</v>
      </c>
      <c r="N315">
        <v>0</v>
      </c>
    </row>
    <row r="316" spans="1:14" x14ac:dyDescent="0.35">
      <c r="A316" s="1">
        <v>45657</v>
      </c>
      <c r="B316" t="s">
        <v>14</v>
      </c>
      <c r="C316" t="s">
        <v>15</v>
      </c>
      <c r="D316" t="s">
        <v>81</v>
      </c>
      <c r="E316">
        <v>1</v>
      </c>
      <c r="F316" t="s">
        <v>437</v>
      </c>
      <c r="H316">
        <v>4588825</v>
      </c>
      <c r="I316" t="str">
        <f>IF(ISBLANK(H316),"",INDEX(Sheet1!$F$2:$F$936,MATCH(H316,Sheet1!$C$2:$C$936,0)))</f>
        <v>Denmark</v>
      </c>
      <c r="J316">
        <v>11051</v>
      </c>
      <c r="M316">
        <v>502893.21250000002</v>
      </c>
      <c r="N316">
        <v>1E-4</v>
      </c>
    </row>
    <row r="317" spans="1:14" x14ac:dyDescent="0.35">
      <c r="A317" s="1">
        <v>45657</v>
      </c>
      <c r="B317" t="s">
        <v>14</v>
      </c>
      <c r="C317" t="s">
        <v>15</v>
      </c>
      <c r="D317" t="s">
        <v>81</v>
      </c>
      <c r="E317">
        <v>1</v>
      </c>
      <c r="F317" t="s">
        <v>438</v>
      </c>
      <c r="H317">
        <v>6093015</v>
      </c>
      <c r="I317" t="str">
        <f>IF(ISBLANK(H317),"",INDEX(Sheet1!$F$2:$F$936,MATCH(H317,Sheet1!$C$2:$C$936,0)))</f>
        <v>AUD</v>
      </c>
      <c r="J317">
        <v>134722</v>
      </c>
      <c r="M317">
        <v>860874.44889999996</v>
      </c>
      <c r="N317">
        <v>1E-4</v>
      </c>
    </row>
    <row r="318" spans="1:14" x14ac:dyDescent="0.35">
      <c r="A318" s="1">
        <v>45657</v>
      </c>
      <c r="B318" t="s">
        <v>14</v>
      </c>
      <c r="C318" t="s">
        <v>15</v>
      </c>
      <c r="D318" t="s">
        <v>81</v>
      </c>
      <c r="E318">
        <v>1</v>
      </c>
      <c r="F318" t="s">
        <v>439</v>
      </c>
      <c r="H318" t="s">
        <v>440</v>
      </c>
      <c r="I318" t="str">
        <f>IF(ISBLANK(H318),"",INDEX(Sheet1!$F$2:$F$936,MATCH(H318,Sheet1!$C$2:$C$936,0)))</f>
        <v>United States</v>
      </c>
      <c r="J318">
        <v>19439</v>
      </c>
      <c r="M318">
        <v>4482728.9419999998</v>
      </c>
      <c r="N318">
        <v>5.9999999999999995E-4</v>
      </c>
    </row>
    <row r="319" spans="1:14" x14ac:dyDescent="0.35">
      <c r="A319" s="1">
        <v>45657</v>
      </c>
      <c r="B319" t="s">
        <v>14</v>
      </c>
      <c r="C319" t="s">
        <v>15</v>
      </c>
      <c r="D319" t="s">
        <v>81</v>
      </c>
      <c r="E319">
        <v>1</v>
      </c>
      <c r="F319" t="s">
        <v>441</v>
      </c>
      <c r="H319">
        <v>2898087</v>
      </c>
      <c r="I319" t="str">
        <f>IF(ISBLANK(H319),"",INDEX(Sheet1!$F$2:$F$936,MATCH(H319,Sheet1!$C$2:$C$936,0)))</f>
        <v>USD</v>
      </c>
      <c r="J319">
        <v>6776</v>
      </c>
      <c r="M319">
        <v>1635339.4380000001</v>
      </c>
      <c r="N319">
        <v>2.0000000000000001E-4</v>
      </c>
    </row>
    <row r="320" spans="1:14" x14ac:dyDescent="0.35">
      <c r="A320" s="1">
        <v>45657</v>
      </c>
      <c r="B320" t="s">
        <v>14</v>
      </c>
      <c r="C320" t="s">
        <v>15</v>
      </c>
      <c r="D320" t="s">
        <v>81</v>
      </c>
      <c r="E320">
        <v>1</v>
      </c>
      <c r="F320" t="s">
        <v>442</v>
      </c>
      <c r="H320">
        <v>6155937</v>
      </c>
      <c r="I320" t="str">
        <f>IF(ISBLANK(H320),"",INDEX(Sheet1!$F$2:$F$936,MATCH(H320,Sheet1!$C$2:$C$936,0)))</f>
        <v>South Korea</v>
      </c>
      <c r="J320">
        <v>7956</v>
      </c>
      <c r="M320">
        <v>897281.61609999998</v>
      </c>
      <c r="N320">
        <v>1E-4</v>
      </c>
    </row>
    <row r="321" spans="1:14" x14ac:dyDescent="0.35">
      <c r="A321" s="1">
        <v>45657</v>
      </c>
      <c r="B321" t="s">
        <v>14</v>
      </c>
      <c r="C321" t="s">
        <v>15</v>
      </c>
      <c r="D321" t="s">
        <v>81</v>
      </c>
      <c r="E321">
        <v>1</v>
      </c>
      <c r="F321" t="s">
        <v>443</v>
      </c>
      <c r="H321">
        <v>6175203</v>
      </c>
      <c r="I321" t="str">
        <f>IF(ISBLANK(H321),"",INDEX(Sheet1!$F$2:$F$936,MATCH(H321,Sheet1!$C$2:$C$936,0)))</f>
        <v>Singapore</v>
      </c>
      <c r="J321">
        <v>136081</v>
      </c>
      <c r="M321">
        <v>7043746.8109999998</v>
      </c>
      <c r="N321">
        <v>1E-3</v>
      </c>
    </row>
    <row r="322" spans="1:14" x14ac:dyDescent="0.35">
      <c r="A322" s="1">
        <v>45657</v>
      </c>
      <c r="B322" t="s">
        <v>14</v>
      </c>
      <c r="C322" t="s">
        <v>15</v>
      </c>
      <c r="D322" t="s">
        <v>81</v>
      </c>
      <c r="E322">
        <v>1</v>
      </c>
      <c r="F322" t="s">
        <v>444</v>
      </c>
      <c r="H322">
        <v>2267278</v>
      </c>
      <c r="I322" t="str">
        <f>IF(ISBLANK(H322),"",INDEX(Sheet1!$F$2:$F$936,MATCH(H322,Sheet1!$C$2:$C$936,0)))</f>
        <v>United States</v>
      </c>
      <c r="J322">
        <v>11127</v>
      </c>
      <c r="M322">
        <v>3651686.11</v>
      </c>
      <c r="N322">
        <v>5.0000000000000001E-4</v>
      </c>
    </row>
    <row r="323" spans="1:14" x14ac:dyDescent="0.35">
      <c r="A323" s="1">
        <v>45657</v>
      </c>
      <c r="B323" t="s">
        <v>14</v>
      </c>
      <c r="C323" t="s">
        <v>15</v>
      </c>
      <c r="D323" t="s">
        <v>81</v>
      </c>
      <c r="E323">
        <v>1</v>
      </c>
      <c r="F323" t="s">
        <v>445</v>
      </c>
      <c r="H323" t="s">
        <v>446</v>
      </c>
      <c r="I323" t="str">
        <f>IF(ISBLANK(H323),"",INDEX(Sheet1!$F$2:$F$936,MATCH(H323,Sheet1!$C$2:$C$936,0)))</f>
        <v>United States</v>
      </c>
      <c r="J323">
        <v>10246</v>
      </c>
      <c r="M323">
        <v>1906529.463</v>
      </c>
      <c r="N323">
        <v>2.9999999999999997E-4</v>
      </c>
    </row>
    <row r="324" spans="1:14" x14ac:dyDescent="0.35">
      <c r="A324" s="1">
        <v>45657</v>
      </c>
      <c r="B324" t="s">
        <v>14</v>
      </c>
      <c r="C324" t="s">
        <v>15</v>
      </c>
      <c r="D324" t="s">
        <v>81</v>
      </c>
      <c r="E324">
        <v>1</v>
      </c>
      <c r="F324" t="s">
        <v>447</v>
      </c>
      <c r="H324" t="s">
        <v>448</v>
      </c>
      <c r="I324" t="str">
        <f>IF(ISBLANK(H324),"",INDEX(Sheet1!$F$2:$F$936,MATCH(H324,Sheet1!$C$2:$C$936,0)))</f>
        <v>United States</v>
      </c>
      <c r="J324">
        <v>62456</v>
      </c>
      <c r="M324">
        <v>6106915.2460000003</v>
      </c>
      <c r="N324">
        <v>8.0000000000000004E-4</v>
      </c>
    </row>
    <row r="325" spans="1:14" x14ac:dyDescent="0.35">
      <c r="A325" s="1">
        <v>45657</v>
      </c>
      <c r="B325" t="s">
        <v>14</v>
      </c>
      <c r="C325" t="s">
        <v>15</v>
      </c>
      <c r="D325" t="s">
        <v>81</v>
      </c>
      <c r="E325">
        <v>1</v>
      </c>
      <c r="F325" t="s">
        <v>449</v>
      </c>
      <c r="H325">
        <v>6260734</v>
      </c>
      <c r="I325" t="str">
        <f>IF(ISBLANK(H325),"",INDEX(Sheet1!$F$2:$F$936,MATCH(H325,Sheet1!$C$2:$C$936,0)))</f>
        <v>TWD</v>
      </c>
      <c r="J325">
        <v>93913</v>
      </c>
      <c r="M325">
        <v>1989440.5090000001</v>
      </c>
      <c r="N325">
        <v>2.9999999999999997E-4</v>
      </c>
    </row>
    <row r="326" spans="1:14" x14ac:dyDescent="0.35">
      <c r="A326" s="1">
        <v>45657</v>
      </c>
      <c r="B326" t="s">
        <v>14</v>
      </c>
      <c r="C326" t="s">
        <v>15</v>
      </c>
      <c r="D326" t="s">
        <v>81</v>
      </c>
      <c r="E326">
        <v>1</v>
      </c>
      <c r="F326" t="s">
        <v>450</v>
      </c>
      <c r="H326" t="s">
        <v>451</v>
      </c>
      <c r="I326" t="str">
        <f>IF(ISBLANK(H326),"",INDEX(Sheet1!$F$2:$F$936,MATCH(H326,Sheet1!$C$2:$C$936,0)))</f>
        <v>Denmark</v>
      </c>
      <c r="J326">
        <v>13127</v>
      </c>
      <c r="M326">
        <v>776064.67590000003</v>
      </c>
      <c r="N326">
        <v>1E-4</v>
      </c>
    </row>
    <row r="327" spans="1:14" x14ac:dyDescent="0.35">
      <c r="A327" s="1">
        <v>45657</v>
      </c>
      <c r="B327" t="s">
        <v>14</v>
      </c>
      <c r="C327" t="s">
        <v>15</v>
      </c>
      <c r="D327" t="s">
        <v>81</v>
      </c>
      <c r="E327">
        <v>1</v>
      </c>
      <c r="F327" t="s">
        <v>452</v>
      </c>
      <c r="H327" t="s">
        <v>453</v>
      </c>
      <c r="I327" t="str">
        <f>IF(ISBLANK(H327),"",INDEX(Sheet1!$F$2:$F$936,MATCH(H327,Sheet1!$C$2:$C$936,0)))</f>
        <v>AUD</v>
      </c>
      <c r="J327">
        <v>703886</v>
      </c>
      <c r="M327">
        <v>2618455.7349999999</v>
      </c>
      <c r="N327">
        <v>4.0000000000000002E-4</v>
      </c>
    </row>
    <row r="328" spans="1:14" x14ac:dyDescent="0.35">
      <c r="A328" s="1">
        <v>45657</v>
      </c>
      <c r="B328" t="s">
        <v>14</v>
      </c>
      <c r="C328" t="s">
        <v>15</v>
      </c>
      <c r="D328" t="s">
        <v>81</v>
      </c>
      <c r="E328">
        <v>1</v>
      </c>
      <c r="F328" t="s">
        <v>454</v>
      </c>
      <c r="H328">
        <v>5750355</v>
      </c>
      <c r="I328" t="str">
        <f>IF(ISBLANK(H328),"",INDEX(Sheet1!$F$2:$F$936,MATCH(H328,Sheet1!$C$2:$C$936,0)))</f>
        <v>Germany</v>
      </c>
      <c r="J328">
        <v>130812</v>
      </c>
      <c r="M328">
        <v>3644400.4759999998</v>
      </c>
      <c r="N328">
        <v>5.0000000000000001E-4</v>
      </c>
    </row>
    <row r="329" spans="1:14" x14ac:dyDescent="0.35">
      <c r="A329" s="1">
        <v>45657</v>
      </c>
      <c r="B329" t="s">
        <v>14</v>
      </c>
      <c r="C329" t="s">
        <v>15</v>
      </c>
      <c r="D329" t="s">
        <v>81</v>
      </c>
      <c r="E329">
        <v>1</v>
      </c>
      <c r="F329" t="s">
        <v>455</v>
      </c>
      <c r="H329">
        <v>4617859</v>
      </c>
      <c r="I329" t="str">
        <f>IF(ISBLANK(H329),"",INDEX(Sheet1!$F$2:$F$936,MATCH(H329,Sheet1!$C$2:$C$936,0)))</f>
        <v>Germany</v>
      </c>
      <c r="J329">
        <v>44100</v>
      </c>
      <c r="M329">
        <v>2503228.0460000001</v>
      </c>
      <c r="N329">
        <v>2.9999999999999997E-4</v>
      </c>
    </row>
    <row r="330" spans="1:14" x14ac:dyDescent="0.35">
      <c r="A330" s="1">
        <v>45657</v>
      </c>
      <c r="B330" t="s">
        <v>14</v>
      </c>
      <c r="C330" t="s">
        <v>15</v>
      </c>
      <c r="D330" t="s">
        <v>81</v>
      </c>
      <c r="E330">
        <v>1</v>
      </c>
      <c r="F330" t="s">
        <v>456</v>
      </c>
      <c r="H330">
        <v>5842359</v>
      </c>
      <c r="I330" t="str">
        <f>IF(ISBLANK(H330),"",INDEX(Sheet1!$F$2:$F$936,MATCH(H330,Sheet1!$C$2:$C$936,0)))</f>
        <v>Germany</v>
      </c>
      <c r="J330">
        <v>107706</v>
      </c>
      <c r="M330">
        <v>5189654.6119999997</v>
      </c>
      <c r="N330">
        <v>6.9999999999999891E-4</v>
      </c>
    </row>
    <row r="331" spans="1:14" x14ac:dyDescent="0.35">
      <c r="A331" s="1">
        <v>45657</v>
      </c>
      <c r="B331" t="s">
        <v>14</v>
      </c>
      <c r="C331" t="s">
        <v>15</v>
      </c>
      <c r="D331" t="s">
        <v>81</v>
      </c>
      <c r="E331">
        <v>1</v>
      </c>
      <c r="F331" t="s">
        <v>457</v>
      </c>
      <c r="H331" t="s">
        <v>458</v>
      </c>
      <c r="I331" t="str">
        <f>IF(ISBLANK(H331),"",INDEX(Sheet1!$F$2:$F$936,MATCH(H331,Sheet1!$C$2:$C$936,0)))</f>
        <v>United States</v>
      </c>
      <c r="J331">
        <v>17964</v>
      </c>
      <c r="M331">
        <v>2255574.5950000002</v>
      </c>
      <c r="N331">
        <v>2.9999999999999997E-4</v>
      </c>
    </row>
    <row r="332" spans="1:14" x14ac:dyDescent="0.35">
      <c r="A332" s="1">
        <v>45657</v>
      </c>
      <c r="B332" t="s">
        <v>14</v>
      </c>
      <c r="C332" t="s">
        <v>15</v>
      </c>
      <c r="D332" t="s">
        <v>81</v>
      </c>
      <c r="E332">
        <v>1</v>
      </c>
      <c r="F332" t="s">
        <v>459</v>
      </c>
      <c r="H332" t="s">
        <v>460</v>
      </c>
      <c r="I332" t="str">
        <f>IF(ISBLANK(H332),"",INDEX(Sheet1!$F$2:$F$936,MATCH(H332,Sheet1!$C$2:$C$936,0)))</f>
        <v>AUD</v>
      </c>
      <c r="J332">
        <v>154193</v>
      </c>
      <c r="M332">
        <v>1298304.5490000001</v>
      </c>
      <c r="N332">
        <v>2.0000000000000001E-4</v>
      </c>
    </row>
    <row r="333" spans="1:14" x14ac:dyDescent="0.35">
      <c r="A333" s="1">
        <v>45657</v>
      </c>
      <c r="B333" t="s">
        <v>14</v>
      </c>
      <c r="C333" t="s">
        <v>15</v>
      </c>
      <c r="D333" t="s">
        <v>81</v>
      </c>
      <c r="E333">
        <v>1</v>
      </c>
      <c r="F333" t="s">
        <v>461</v>
      </c>
      <c r="H333">
        <v>2969637</v>
      </c>
      <c r="I333" t="str">
        <f>IF(ISBLANK(H333),"",INDEX(Sheet1!$F$2:$F$936,MATCH(H333,Sheet1!$C$2:$C$936,0)))</f>
        <v>United States</v>
      </c>
      <c r="J333">
        <v>7850</v>
      </c>
      <c r="M333">
        <v>2902772.8879999998</v>
      </c>
      <c r="N333">
        <v>4.0000000000000002E-4</v>
      </c>
    </row>
    <row r="334" spans="1:14" x14ac:dyDescent="0.35">
      <c r="A334" s="1">
        <v>45657</v>
      </c>
      <c r="B334" t="s">
        <v>14</v>
      </c>
      <c r="C334" t="s">
        <v>15</v>
      </c>
      <c r="D334" t="s">
        <v>81</v>
      </c>
      <c r="E334">
        <v>1</v>
      </c>
      <c r="F334" t="s">
        <v>462</v>
      </c>
      <c r="H334" t="s">
        <v>463</v>
      </c>
      <c r="I334" t="str">
        <f>IF(ISBLANK(H334),"",INDEX(Sheet1!$F$2:$F$936,MATCH(H334,Sheet1!$C$2:$C$936,0)))</f>
        <v>PLN</v>
      </c>
      <c r="J334">
        <v>12268</v>
      </c>
      <c r="M334">
        <v>1869910.5660000001</v>
      </c>
      <c r="N334">
        <v>2.9999999999999997E-4</v>
      </c>
    </row>
    <row r="335" spans="1:14" x14ac:dyDescent="0.35">
      <c r="A335" s="1">
        <v>45657</v>
      </c>
      <c r="B335" t="s">
        <v>14</v>
      </c>
      <c r="C335" t="s">
        <v>15</v>
      </c>
      <c r="D335" t="s">
        <v>81</v>
      </c>
      <c r="E335">
        <v>1</v>
      </c>
      <c r="F335" t="s">
        <v>464</v>
      </c>
      <c r="H335" t="s">
        <v>465</v>
      </c>
      <c r="I335" t="str">
        <f>IF(ISBLANK(H335),"",INDEX(Sheet1!$F$2:$F$936,MATCH(H335,Sheet1!$C$2:$C$936,0)))</f>
        <v>United States</v>
      </c>
      <c r="J335">
        <v>21821</v>
      </c>
      <c r="M335">
        <v>3168322.423</v>
      </c>
      <c r="N335">
        <v>4.0000000000000002E-4</v>
      </c>
    </row>
    <row r="336" spans="1:14" x14ac:dyDescent="0.35">
      <c r="A336" s="1">
        <v>45657</v>
      </c>
      <c r="B336" t="s">
        <v>14</v>
      </c>
      <c r="C336" t="s">
        <v>15</v>
      </c>
      <c r="D336" t="s">
        <v>81</v>
      </c>
      <c r="E336">
        <v>1</v>
      </c>
      <c r="F336" t="s">
        <v>466</v>
      </c>
      <c r="H336" t="s">
        <v>467</v>
      </c>
      <c r="I336" t="str">
        <f>IF(ISBLANK(H336),"",INDEX(Sheet1!$F$2:$F$936,MATCH(H336,Sheet1!$C$2:$C$936,0)))</f>
        <v>AUD</v>
      </c>
      <c r="J336">
        <v>121217</v>
      </c>
      <c r="M336">
        <v>305467.10350000003</v>
      </c>
      <c r="N336">
        <v>0</v>
      </c>
    </row>
    <row r="337" spans="1:14" x14ac:dyDescent="0.35">
      <c r="A337" s="1">
        <v>45657</v>
      </c>
      <c r="B337" t="s">
        <v>14</v>
      </c>
      <c r="C337" t="s">
        <v>15</v>
      </c>
      <c r="D337" t="s">
        <v>81</v>
      </c>
      <c r="E337">
        <v>1</v>
      </c>
      <c r="F337" t="s">
        <v>468</v>
      </c>
      <c r="H337" t="s">
        <v>469</v>
      </c>
      <c r="I337" t="str">
        <f>IF(ISBLANK(H337),"",INDEX(Sheet1!$F$2:$F$936,MATCH(H337,Sheet1!$C$2:$C$936,0)))</f>
        <v>AUD</v>
      </c>
      <c r="J337">
        <v>62418</v>
      </c>
      <c r="M337">
        <v>1837584.52</v>
      </c>
      <c r="N337">
        <v>2.9999999999999997E-4</v>
      </c>
    </row>
    <row r="338" spans="1:14" x14ac:dyDescent="0.35">
      <c r="A338" s="1">
        <v>45657</v>
      </c>
      <c r="B338" t="s">
        <v>14</v>
      </c>
      <c r="C338" t="s">
        <v>15</v>
      </c>
      <c r="D338" t="s">
        <v>81</v>
      </c>
      <c r="E338">
        <v>1</v>
      </c>
      <c r="F338" t="s">
        <v>470</v>
      </c>
      <c r="H338" t="s">
        <v>471</v>
      </c>
      <c r="I338" t="str">
        <f>IF(ISBLANK(H338),"",INDEX(Sheet1!$F$2:$F$936,MATCH(H338,Sheet1!$C$2:$C$936,0)))</f>
        <v>United States</v>
      </c>
      <c r="J338">
        <v>2434</v>
      </c>
      <c r="M338">
        <v>1648853.236</v>
      </c>
      <c r="N338">
        <v>2.0000000000000001E-4</v>
      </c>
    </row>
    <row r="339" spans="1:14" x14ac:dyDescent="0.35">
      <c r="A339" s="1">
        <v>45657</v>
      </c>
      <c r="B339" t="s">
        <v>14</v>
      </c>
      <c r="C339" t="s">
        <v>15</v>
      </c>
      <c r="D339" t="s">
        <v>81</v>
      </c>
      <c r="E339">
        <v>1</v>
      </c>
      <c r="F339" t="s">
        <v>472</v>
      </c>
      <c r="H339" t="s">
        <v>473</v>
      </c>
      <c r="I339" t="str">
        <f>IF(ISBLANK(H339),"",INDEX(Sheet1!$F$2:$F$936,MATCH(H339,Sheet1!$C$2:$C$936,0)))</f>
        <v>United States</v>
      </c>
      <c r="J339">
        <v>7258</v>
      </c>
      <c r="M339">
        <v>1965281.8759999999</v>
      </c>
      <c r="N339">
        <v>2.9999999999999997E-4</v>
      </c>
    </row>
    <row r="340" spans="1:14" x14ac:dyDescent="0.35">
      <c r="A340" s="1">
        <v>45657</v>
      </c>
      <c r="B340" t="s">
        <v>14</v>
      </c>
      <c r="C340" t="s">
        <v>15</v>
      </c>
      <c r="D340" t="s">
        <v>81</v>
      </c>
      <c r="E340">
        <v>1</v>
      </c>
      <c r="F340" t="s">
        <v>474</v>
      </c>
      <c r="H340">
        <v>6465573</v>
      </c>
      <c r="I340" t="str">
        <f>IF(ISBLANK(H340),"",INDEX(Sheet1!$F$2:$F$936,MATCH(H340,Sheet1!$C$2:$C$936,0)))</f>
        <v>Australia</v>
      </c>
      <c r="J340">
        <v>314920</v>
      </c>
      <c r="M340">
        <v>1653327.5279999999</v>
      </c>
      <c r="N340">
        <v>2.0000000000000001E-4</v>
      </c>
    </row>
    <row r="341" spans="1:14" x14ac:dyDescent="0.35">
      <c r="A341" s="1">
        <v>45657</v>
      </c>
      <c r="B341" t="s">
        <v>14</v>
      </c>
      <c r="C341" t="s">
        <v>15</v>
      </c>
      <c r="D341" t="s">
        <v>81</v>
      </c>
      <c r="E341">
        <v>1</v>
      </c>
      <c r="F341" t="s">
        <v>475</v>
      </c>
      <c r="H341" t="s">
        <v>476</v>
      </c>
      <c r="I341" t="str">
        <f>IF(ISBLANK(H341),"",INDEX(Sheet1!$F$2:$F$936,MATCH(H341,Sheet1!$C$2:$C$936,0)))</f>
        <v>Denmark</v>
      </c>
      <c r="J341">
        <v>1122</v>
      </c>
      <c r="M341">
        <v>383515.48729999998</v>
      </c>
      <c r="N341">
        <v>1E-4</v>
      </c>
    </row>
    <row r="342" spans="1:14" x14ac:dyDescent="0.35">
      <c r="A342" s="1">
        <v>45657</v>
      </c>
      <c r="B342" t="s">
        <v>14</v>
      </c>
      <c r="C342" t="s">
        <v>15</v>
      </c>
      <c r="D342" t="s">
        <v>81</v>
      </c>
      <c r="E342">
        <v>1</v>
      </c>
      <c r="F342" t="s">
        <v>477</v>
      </c>
      <c r="H342" t="s">
        <v>478</v>
      </c>
      <c r="I342" t="str">
        <f>IF(ISBLANK(H342),"",INDEX(Sheet1!$F$2:$F$936,MATCH(H342,Sheet1!$C$2:$C$936,0)))</f>
        <v>AUD</v>
      </c>
      <c r="J342">
        <v>96154</v>
      </c>
      <c r="M342">
        <v>144231.01730000001</v>
      </c>
      <c r="N342">
        <v>0</v>
      </c>
    </row>
    <row r="343" spans="1:14" x14ac:dyDescent="0.35">
      <c r="A343" s="1">
        <v>45657</v>
      </c>
      <c r="B343" t="s">
        <v>14</v>
      </c>
      <c r="C343" t="s">
        <v>15</v>
      </c>
      <c r="D343" t="s">
        <v>81</v>
      </c>
      <c r="E343">
        <v>1</v>
      </c>
      <c r="F343" t="s">
        <v>479</v>
      </c>
      <c r="H343">
        <v>4942904</v>
      </c>
      <c r="I343" t="str">
        <f>IF(ISBLANK(H343),"",INDEX(Sheet1!$F$2:$F$936,MATCH(H343,Sheet1!$C$2:$C$936,0)))</f>
        <v>Germany</v>
      </c>
      <c r="J343">
        <v>167107</v>
      </c>
      <c r="M343">
        <v>3149720.3810000001</v>
      </c>
      <c r="N343">
        <v>4.0000000000000002E-4</v>
      </c>
    </row>
    <row r="344" spans="1:14" x14ac:dyDescent="0.35">
      <c r="A344" s="1">
        <v>45657</v>
      </c>
      <c r="B344" t="s">
        <v>14</v>
      </c>
      <c r="C344" t="s">
        <v>15</v>
      </c>
      <c r="D344" t="s">
        <v>81</v>
      </c>
      <c r="E344">
        <v>1</v>
      </c>
      <c r="F344" t="s">
        <v>480</v>
      </c>
      <c r="H344" t="s">
        <v>481</v>
      </c>
      <c r="I344" t="str">
        <f>IF(ISBLANK(H344),"",INDEX(Sheet1!$F$2:$F$936,MATCH(H344,Sheet1!$C$2:$C$936,0)))</f>
        <v>Ireland</v>
      </c>
      <c r="J344">
        <v>8589</v>
      </c>
      <c r="M344">
        <v>4605592.3559999997</v>
      </c>
      <c r="N344">
        <v>5.9999999999999995E-4</v>
      </c>
    </row>
    <row r="345" spans="1:14" x14ac:dyDescent="0.35">
      <c r="A345" s="1">
        <v>45657</v>
      </c>
      <c r="B345" t="s">
        <v>14</v>
      </c>
      <c r="C345" t="s">
        <v>15</v>
      </c>
      <c r="D345" t="s">
        <v>81</v>
      </c>
      <c r="E345">
        <v>1</v>
      </c>
      <c r="F345" t="s">
        <v>482</v>
      </c>
      <c r="H345">
        <v>2293819</v>
      </c>
      <c r="I345" t="str">
        <f>IF(ISBLANK(H345),"",INDEX(Sheet1!$F$2:$F$936,MATCH(H345,Sheet1!$C$2:$C$936,0)))</f>
        <v>United States</v>
      </c>
      <c r="J345">
        <v>35936</v>
      </c>
      <c r="M345">
        <v>3596165.0010000002</v>
      </c>
      <c r="N345">
        <v>5.0000000000000001E-4</v>
      </c>
    </row>
    <row r="346" spans="1:14" x14ac:dyDescent="0.35">
      <c r="A346" s="1">
        <v>45657</v>
      </c>
      <c r="B346" t="s">
        <v>14</v>
      </c>
      <c r="C346" t="s">
        <v>15</v>
      </c>
      <c r="D346" t="s">
        <v>81</v>
      </c>
      <c r="E346">
        <v>1</v>
      </c>
      <c r="F346" t="s">
        <v>483</v>
      </c>
      <c r="H346" t="s">
        <v>484</v>
      </c>
      <c r="I346" t="str">
        <f>IF(ISBLANK(H346),"",INDEX(Sheet1!$F$2:$F$936,MATCH(H346,Sheet1!$C$2:$C$936,0)))</f>
        <v>NZD</v>
      </c>
      <c r="J346">
        <v>236531</v>
      </c>
      <c r="M346">
        <v>8018396.4380000001</v>
      </c>
      <c r="N346">
        <v>1.1000000000000001E-3</v>
      </c>
    </row>
    <row r="347" spans="1:14" x14ac:dyDescent="0.35">
      <c r="A347" s="1">
        <v>45657</v>
      </c>
      <c r="B347" t="s">
        <v>14</v>
      </c>
      <c r="C347" t="s">
        <v>15</v>
      </c>
      <c r="D347" t="s">
        <v>81</v>
      </c>
      <c r="E347">
        <v>1</v>
      </c>
      <c r="F347" t="s">
        <v>485</v>
      </c>
      <c r="H347">
        <v>2304227</v>
      </c>
      <c r="I347" t="str">
        <f>IF(ISBLANK(H347),"",INDEX(Sheet1!$F$2:$F$936,MATCH(H347,Sheet1!$C$2:$C$936,0)))</f>
        <v>United States</v>
      </c>
      <c r="J347">
        <v>11226</v>
      </c>
      <c r="M347">
        <v>4249919.5860000001</v>
      </c>
      <c r="N347">
        <v>5.9999999999999995E-4</v>
      </c>
    </row>
    <row r="348" spans="1:14" x14ac:dyDescent="0.35">
      <c r="A348" s="1">
        <v>45657</v>
      </c>
      <c r="B348" t="s">
        <v>14</v>
      </c>
      <c r="C348" t="s">
        <v>15</v>
      </c>
      <c r="D348" t="s">
        <v>81</v>
      </c>
      <c r="E348">
        <v>1</v>
      </c>
      <c r="F348" t="s">
        <v>486</v>
      </c>
      <c r="H348">
        <v>2829515</v>
      </c>
      <c r="I348" t="str">
        <f>IF(ISBLANK(H348),"",INDEX(Sheet1!$F$2:$F$936,MATCH(H348,Sheet1!$C$2:$C$936,0)))</f>
        <v>United States</v>
      </c>
      <c r="J348">
        <v>27014</v>
      </c>
      <c r="M348">
        <v>3482143.4589999998</v>
      </c>
      <c r="N348">
        <v>5.0000000000000001E-4</v>
      </c>
    </row>
    <row r="349" spans="1:14" x14ac:dyDescent="0.35">
      <c r="A349" s="1">
        <v>45657</v>
      </c>
      <c r="B349" t="s">
        <v>14</v>
      </c>
      <c r="C349" t="s">
        <v>15</v>
      </c>
      <c r="D349" t="s">
        <v>81</v>
      </c>
      <c r="E349">
        <v>1</v>
      </c>
      <c r="F349" t="s">
        <v>487</v>
      </c>
      <c r="H349" t="s">
        <v>488</v>
      </c>
      <c r="I349" t="str">
        <f>IF(ISBLANK(H349),"",INDEX(Sheet1!$F$2:$F$936,MATCH(H349,Sheet1!$C$2:$C$936,0)))</f>
        <v>France</v>
      </c>
      <c r="J349">
        <v>2139</v>
      </c>
      <c r="M349">
        <v>303076.41859999998</v>
      </c>
      <c r="N349">
        <v>0</v>
      </c>
    </row>
    <row r="350" spans="1:14" x14ac:dyDescent="0.35">
      <c r="A350" s="1">
        <v>45657</v>
      </c>
      <c r="B350" t="s">
        <v>14</v>
      </c>
      <c r="C350" t="s">
        <v>15</v>
      </c>
      <c r="D350" t="s">
        <v>81</v>
      </c>
      <c r="E350">
        <v>1</v>
      </c>
      <c r="F350" t="s">
        <v>489</v>
      </c>
      <c r="H350">
        <v>6357852</v>
      </c>
      <c r="I350" t="str">
        <f>IF(ISBLANK(H350),"",INDEX(Sheet1!$F$2:$F$936,MATCH(H350,Sheet1!$C$2:$C$936,0)))</f>
        <v>AUD</v>
      </c>
      <c r="J350">
        <v>326197</v>
      </c>
      <c r="M350">
        <v>2335570.5649999999</v>
      </c>
      <c r="N350">
        <v>2.9999999999999997E-4</v>
      </c>
    </row>
    <row r="351" spans="1:14" x14ac:dyDescent="0.35">
      <c r="A351" s="1">
        <v>45657</v>
      </c>
      <c r="B351" t="s">
        <v>14</v>
      </c>
      <c r="C351" t="s">
        <v>15</v>
      </c>
      <c r="D351" t="s">
        <v>81</v>
      </c>
      <c r="E351">
        <v>1</v>
      </c>
      <c r="F351" t="s">
        <v>490</v>
      </c>
      <c r="H351">
        <v>6293990</v>
      </c>
      <c r="I351" t="str">
        <f>IF(ISBLANK(H351),"",INDEX(Sheet1!$F$2:$F$936,MATCH(H351,Sheet1!$C$2:$C$936,0)))</f>
        <v>AU</v>
      </c>
      <c r="J351">
        <v>157608</v>
      </c>
      <c r="M351">
        <v>203314.86679999999</v>
      </c>
      <c r="N351">
        <v>0</v>
      </c>
    </row>
    <row r="352" spans="1:14" x14ac:dyDescent="0.35">
      <c r="A352" s="1">
        <v>45657</v>
      </c>
      <c r="B352" t="s">
        <v>14</v>
      </c>
      <c r="C352" t="s">
        <v>15</v>
      </c>
      <c r="D352" t="s">
        <v>81</v>
      </c>
      <c r="E352">
        <v>1</v>
      </c>
      <c r="F352" t="s">
        <v>491</v>
      </c>
      <c r="H352">
        <v>2310194</v>
      </c>
      <c r="I352" t="str">
        <f>IF(ISBLANK(H352),"",INDEX(Sheet1!$F$2:$F$936,MATCH(H352,Sheet1!$C$2:$C$936,0)))</f>
        <v>United States</v>
      </c>
      <c r="J352">
        <v>13531</v>
      </c>
      <c r="M352">
        <v>3197147.0819999999</v>
      </c>
      <c r="N352">
        <v>4.0000000000000002E-4</v>
      </c>
    </row>
    <row r="353" spans="1:14" x14ac:dyDescent="0.35">
      <c r="A353" s="1">
        <v>45657</v>
      </c>
      <c r="B353" t="s">
        <v>14</v>
      </c>
      <c r="C353" t="s">
        <v>15</v>
      </c>
      <c r="D353" t="s">
        <v>81</v>
      </c>
      <c r="E353">
        <v>1</v>
      </c>
      <c r="F353" t="s">
        <v>492</v>
      </c>
      <c r="H353" t="s">
        <v>493</v>
      </c>
      <c r="I353" t="str">
        <f>IF(ISBLANK(H353),"",INDEX(Sheet1!$F$2:$F$936,MATCH(H353,Sheet1!$C$2:$C$936,0)))</f>
        <v>Canada</v>
      </c>
      <c r="J353">
        <v>16783</v>
      </c>
      <c r="M353">
        <v>546580.27549999999</v>
      </c>
      <c r="N353">
        <v>1E-4</v>
      </c>
    </row>
    <row r="354" spans="1:14" x14ac:dyDescent="0.35">
      <c r="A354" s="1">
        <v>45657</v>
      </c>
      <c r="B354" t="s">
        <v>14</v>
      </c>
      <c r="C354" t="s">
        <v>15</v>
      </c>
      <c r="D354" t="s">
        <v>81</v>
      </c>
      <c r="E354">
        <v>1</v>
      </c>
      <c r="F354" t="s">
        <v>494</v>
      </c>
      <c r="H354" t="s">
        <v>495</v>
      </c>
      <c r="I354" t="str">
        <f>IF(ISBLANK(H354),"",INDEX(Sheet1!$F$2:$F$936,MATCH(H354,Sheet1!$C$2:$C$936,0)))</f>
        <v>United States</v>
      </c>
      <c r="J354">
        <v>19418</v>
      </c>
      <c r="M354">
        <v>11566343.140000001</v>
      </c>
      <c r="N354">
        <v>1.6000000000000001E-3</v>
      </c>
    </row>
    <row r="355" spans="1:14" x14ac:dyDescent="0.35">
      <c r="A355" s="1">
        <v>45657</v>
      </c>
      <c r="B355" t="s">
        <v>14</v>
      </c>
      <c r="C355" t="s">
        <v>15</v>
      </c>
      <c r="D355" t="s">
        <v>81</v>
      </c>
      <c r="E355">
        <v>1</v>
      </c>
      <c r="F355" t="s">
        <v>496</v>
      </c>
      <c r="H355" t="s">
        <v>497</v>
      </c>
      <c r="I355" t="str">
        <f>IF(ISBLANK(H355),"",INDEX(Sheet1!$F$2:$F$936,MATCH(H355,Sheet1!$C$2:$C$936,0)))</f>
        <v>United States</v>
      </c>
      <c r="J355">
        <v>12122</v>
      </c>
      <c r="M355">
        <v>2454154.4900000002</v>
      </c>
      <c r="N355">
        <v>2.9999999999999997E-4</v>
      </c>
    </row>
    <row r="356" spans="1:14" x14ac:dyDescent="0.35">
      <c r="A356" s="1">
        <v>45657</v>
      </c>
      <c r="B356" t="s">
        <v>14</v>
      </c>
      <c r="C356" t="s">
        <v>15</v>
      </c>
      <c r="D356" t="s">
        <v>81</v>
      </c>
      <c r="E356">
        <v>1</v>
      </c>
      <c r="F356" t="s">
        <v>498</v>
      </c>
      <c r="H356">
        <v>2516152</v>
      </c>
      <c r="I356" t="str">
        <f>IF(ISBLANK(H356),"",INDEX(Sheet1!$F$2:$F$936,MATCH(H356,Sheet1!$C$2:$C$936,0)))</f>
        <v>United States</v>
      </c>
      <c r="J356">
        <v>9399</v>
      </c>
      <c r="M356">
        <v>11728029.73</v>
      </c>
      <c r="N356">
        <v>1.6000000000000001E-3</v>
      </c>
    </row>
    <row r="357" spans="1:14" x14ac:dyDescent="0.35">
      <c r="A357" s="1">
        <v>45657</v>
      </c>
      <c r="B357" t="s">
        <v>14</v>
      </c>
      <c r="C357" t="s">
        <v>15</v>
      </c>
      <c r="D357" t="s">
        <v>81</v>
      </c>
      <c r="E357">
        <v>1</v>
      </c>
      <c r="F357" t="s">
        <v>499</v>
      </c>
      <c r="H357" t="s">
        <v>500</v>
      </c>
      <c r="I357" t="str">
        <f>IF(ISBLANK(H357),"",INDEX(Sheet1!$F$2:$F$936,MATCH(H357,Sheet1!$C$2:$C$936,0)))</f>
        <v>UAE</v>
      </c>
      <c r="J357">
        <v>421392</v>
      </c>
      <c r="M357">
        <v>2381041.8530000001</v>
      </c>
      <c r="N357">
        <v>2.9999999999999997E-4</v>
      </c>
    </row>
    <row r="358" spans="1:14" x14ac:dyDescent="0.35">
      <c r="A358" s="1">
        <v>45657</v>
      </c>
      <c r="B358" t="s">
        <v>14</v>
      </c>
      <c r="C358" t="s">
        <v>15</v>
      </c>
      <c r="D358" t="s">
        <v>81</v>
      </c>
      <c r="E358">
        <v>1</v>
      </c>
      <c r="F358" t="s">
        <v>501</v>
      </c>
      <c r="H358" t="s">
        <v>502</v>
      </c>
      <c r="I358" t="str">
        <f>IF(ISBLANK(H358),"",INDEX(Sheet1!$F$2:$F$936,MATCH(H358,Sheet1!$C$2:$C$936,0)))</f>
        <v>AUD</v>
      </c>
      <c r="J358">
        <v>2412815</v>
      </c>
      <c r="M358">
        <v>2207725.6970000002</v>
      </c>
      <c r="N358">
        <v>2.9999999999999997E-4</v>
      </c>
    </row>
    <row r="359" spans="1:14" x14ac:dyDescent="0.35">
      <c r="A359" s="1">
        <v>45657</v>
      </c>
      <c r="B359" t="s">
        <v>14</v>
      </c>
      <c r="C359" t="s">
        <v>15</v>
      </c>
      <c r="D359" t="s">
        <v>81</v>
      </c>
      <c r="E359">
        <v>1</v>
      </c>
      <c r="F359" t="s">
        <v>503</v>
      </c>
      <c r="H359">
        <v>6107381</v>
      </c>
      <c r="I359" t="str">
        <f>IF(ISBLANK(H359),"",INDEX(Sheet1!$F$2:$F$936,MATCH(H359,Sheet1!$C$2:$C$936,0)))</f>
        <v>AUD</v>
      </c>
      <c r="J359">
        <v>18707</v>
      </c>
      <c r="M359">
        <v>60798.608399999997</v>
      </c>
      <c r="N359">
        <v>0</v>
      </c>
    </row>
    <row r="360" spans="1:14" x14ac:dyDescent="0.35">
      <c r="A360" s="1">
        <v>45657</v>
      </c>
      <c r="B360" t="s">
        <v>14</v>
      </c>
      <c r="C360" t="s">
        <v>15</v>
      </c>
      <c r="D360" t="s">
        <v>81</v>
      </c>
      <c r="E360">
        <v>1</v>
      </c>
      <c r="F360" t="s">
        <v>504</v>
      </c>
      <c r="H360">
        <v>2313405</v>
      </c>
      <c r="I360" t="str">
        <f>IF(ISBLANK(H360),"",INDEX(Sheet1!$F$2:$F$936,MATCH(H360,Sheet1!$C$2:$C$936,0)))</f>
        <v>United States</v>
      </c>
      <c r="J360">
        <v>22666</v>
      </c>
      <c r="M360">
        <v>4538760.4910000004</v>
      </c>
      <c r="N360">
        <v>5.9999999999999995E-4</v>
      </c>
    </row>
    <row r="361" spans="1:14" x14ac:dyDescent="0.35">
      <c r="A361" s="1">
        <v>45657</v>
      </c>
      <c r="B361" t="s">
        <v>14</v>
      </c>
      <c r="C361" t="s">
        <v>15</v>
      </c>
      <c r="D361" t="s">
        <v>81</v>
      </c>
      <c r="E361">
        <v>1</v>
      </c>
      <c r="F361" t="s">
        <v>505</v>
      </c>
      <c r="H361" t="s">
        <v>506</v>
      </c>
      <c r="I361" t="str">
        <f>IF(ISBLANK(H361),"",INDEX(Sheet1!$F$2:$F$936,MATCH(H361,Sheet1!$C$2:$C$936,0)))</f>
        <v>UAE</v>
      </c>
      <c r="J361">
        <v>151446</v>
      </c>
      <c r="M361">
        <v>1415121.825</v>
      </c>
      <c r="N361">
        <v>2.0000000000000001E-4</v>
      </c>
    </row>
    <row r="362" spans="1:14" x14ac:dyDescent="0.35">
      <c r="A362" s="1">
        <v>45657</v>
      </c>
      <c r="B362" t="s">
        <v>14</v>
      </c>
      <c r="C362" t="s">
        <v>15</v>
      </c>
      <c r="D362" t="s">
        <v>81</v>
      </c>
      <c r="E362">
        <v>1</v>
      </c>
      <c r="F362" t="s">
        <v>507</v>
      </c>
      <c r="H362" t="s">
        <v>508</v>
      </c>
      <c r="I362" t="str">
        <f>IF(ISBLANK(H362),"",INDEX(Sheet1!$F$2:$F$936,MATCH(H362,Sheet1!$C$2:$C$936,0)))</f>
        <v>AUD</v>
      </c>
      <c r="J362">
        <v>245583</v>
      </c>
      <c r="M362">
        <v>191555.04740000001</v>
      </c>
      <c r="N362">
        <v>0</v>
      </c>
    </row>
    <row r="363" spans="1:14" x14ac:dyDescent="0.35">
      <c r="A363" s="1">
        <v>45657</v>
      </c>
      <c r="B363" t="s">
        <v>14</v>
      </c>
      <c r="C363" t="s">
        <v>15</v>
      </c>
      <c r="D363" t="s">
        <v>81</v>
      </c>
      <c r="E363">
        <v>1</v>
      </c>
      <c r="F363" t="s">
        <v>509</v>
      </c>
      <c r="H363">
        <v>2314000</v>
      </c>
      <c r="I363" t="str">
        <f>IF(ISBLANK(H363),"",INDEX(Sheet1!$F$2:$F$936,MATCH(H363,Sheet1!$C$2:$C$936,0)))</f>
        <v>Canada</v>
      </c>
      <c r="J363">
        <v>23953</v>
      </c>
      <c r="M363">
        <v>1176861.1170000001</v>
      </c>
      <c r="N363">
        <v>2.0000000000000001E-4</v>
      </c>
    </row>
    <row r="364" spans="1:14" x14ac:dyDescent="0.35">
      <c r="A364" s="1">
        <v>45657</v>
      </c>
      <c r="B364" t="s">
        <v>14</v>
      </c>
      <c r="C364" t="s">
        <v>15</v>
      </c>
      <c r="D364" t="s">
        <v>81</v>
      </c>
      <c r="E364">
        <v>1</v>
      </c>
      <c r="F364" t="s">
        <v>510</v>
      </c>
      <c r="H364" t="s">
        <v>511</v>
      </c>
      <c r="I364" t="str">
        <f>IF(ISBLANK(H364),"",INDEX(Sheet1!$F$2:$F$936,MATCH(H364,Sheet1!$C$2:$C$936,0)))</f>
        <v>Australia</v>
      </c>
      <c r="J364">
        <v>1747827</v>
      </c>
      <c r="M364">
        <v>7340874.335</v>
      </c>
      <c r="N364">
        <v>1E-3</v>
      </c>
    </row>
    <row r="365" spans="1:14" x14ac:dyDescent="0.35">
      <c r="A365" s="1">
        <v>45657</v>
      </c>
      <c r="B365" t="s">
        <v>14</v>
      </c>
      <c r="C365" t="s">
        <v>15</v>
      </c>
      <c r="D365" t="s">
        <v>81</v>
      </c>
      <c r="E365">
        <v>1</v>
      </c>
      <c r="F365" t="s">
        <v>512</v>
      </c>
      <c r="H365" t="s">
        <v>513</v>
      </c>
      <c r="I365" t="str">
        <f>IF(ISBLANK(H365),"",INDEX(Sheet1!$F$2:$F$936,MATCH(H365,Sheet1!$C$2:$C$936,0)))</f>
        <v>Japan</v>
      </c>
      <c r="J365">
        <v>398227</v>
      </c>
      <c r="M365">
        <v>3381666.8870000001</v>
      </c>
      <c r="N365">
        <v>5.0000000000000001E-4</v>
      </c>
    </row>
    <row r="366" spans="1:14" x14ac:dyDescent="0.35">
      <c r="A366" s="1">
        <v>45657</v>
      </c>
      <c r="B366" t="s">
        <v>14</v>
      </c>
      <c r="C366" t="s">
        <v>15</v>
      </c>
      <c r="D366" t="s">
        <v>81</v>
      </c>
      <c r="E366">
        <v>1</v>
      </c>
      <c r="F366" t="s">
        <v>514</v>
      </c>
      <c r="H366" t="s">
        <v>515</v>
      </c>
      <c r="I366" t="str">
        <f>IF(ISBLANK(H366),"",INDEX(Sheet1!$F$2:$F$936,MATCH(H366,Sheet1!$C$2:$C$936,0)))</f>
        <v>France</v>
      </c>
      <c r="J366">
        <v>140915</v>
      </c>
      <c r="M366">
        <v>3605820.5159999998</v>
      </c>
      <c r="N366">
        <v>5.0000000000000001E-4</v>
      </c>
    </row>
    <row r="367" spans="1:14" x14ac:dyDescent="0.35">
      <c r="A367" s="1">
        <v>45657</v>
      </c>
      <c r="B367" t="s">
        <v>14</v>
      </c>
      <c r="C367" t="s">
        <v>15</v>
      </c>
      <c r="D367" t="s">
        <v>81</v>
      </c>
      <c r="E367">
        <v>1</v>
      </c>
      <c r="F367" t="s">
        <v>516</v>
      </c>
      <c r="H367">
        <v>6333937</v>
      </c>
      <c r="I367" t="str">
        <f>IF(ISBLANK(H367),"",INDEX(Sheet1!$F$2:$F$936,MATCH(H367,Sheet1!$C$2:$C$936,0)))</f>
        <v>HKD</v>
      </c>
      <c r="J367">
        <v>13708</v>
      </c>
      <c r="M367">
        <v>159180.47719999999</v>
      </c>
      <c r="N367">
        <v>0</v>
      </c>
    </row>
    <row r="368" spans="1:14" x14ac:dyDescent="0.35">
      <c r="A368" s="1">
        <v>45657</v>
      </c>
      <c r="B368" t="s">
        <v>14</v>
      </c>
      <c r="C368" t="s">
        <v>15</v>
      </c>
      <c r="D368" t="s">
        <v>81</v>
      </c>
      <c r="E368">
        <v>1</v>
      </c>
      <c r="F368" t="s">
        <v>517</v>
      </c>
      <c r="H368" t="s">
        <v>518</v>
      </c>
      <c r="I368" t="str">
        <f>IF(ISBLANK(H368),"",INDEX(Sheet1!$F$2:$F$936,MATCH(H368,Sheet1!$C$2:$C$936,0)))</f>
        <v>United States</v>
      </c>
      <c r="J368">
        <v>12510</v>
      </c>
      <c r="M368">
        <v>1387672.429</v>
      </c>
      <c r="N368">
        <v>2.0000000000000001E-4</v>
      </c>
    </row>
    <row r="369" spans="1:14" x14ac:dyDescent="0.35">
      <c r="A369" s="1">
        <v>45657</v>
      </c>
      <c r="B369" t="s">
        <v>14</v>
      </c>
      <c r="C369" t="s">
        <v>15</v>
      </c>
      <c r="D369" t="s">
        <v>81</v>
      </c>
      <c r="E369">
        <v>1</v>
      </c>
      <c r="F369" t="s">
        <v>519</v>
      </c>
      <c r="H369">
        <v>2318024</v>
      </c>
      <c r="I369" t="str">
        <f>IF(ISBLANK(H369),"",INDEX(Sheet1!$F$2:$F$936,MATCH(H369,Sheet1!$C$2:$C$936,0)))</f>
        <v>United States</v>
      </c>
      <c r="J369">
        <v>21858</v>
      </c>
      <c r="M369">
        <v>4328152.2869999995</v>
      </c>
      <c r="N369">
        <v>5.9999999999999995E-4</v>
      </c>
    </row>
    <row r="370" spans="1:14" x14ac:dyDescent="0.35">
      <c r="A370" s="1">
        <v>45657</v>
      </c>
      <c r="B370" t="s">
        <v>14</v>
      </c>
      <c r="C370" t="s">
        <v>15</v>
      </c>
      <c r="D370" t="s">
        <v>81</v>
      </c>
      <c r="E370">
        <v>1</v>
      </c>
      <c r="F370" t="s">
        <v>520</v>
      </c>
      <c r="H370" t="s">
        <v>521</v>
      </c>
      <c r="I370" t="str">
        <f>IF(ISBLANK(H370),"",INDEX(Sheet1!$F$2:$F$936,MATCH(H370,Sheet1!$C$2:$C$936,0)))</f>
        <v>AUD</v>
      </c>
      <c r="J370">
        <v>5760</v>
      </c>
      <c r="M370">
        <v>184270.27530000001</v>
      </c>
      <c r="N370">
        <v>0</v>
      </c>
    </row>
    <row r="371" spans="1:14" x14ac:dyDescent="0.35">
      <c r="A371" s="1">
        <v>45657</v>
      </c>
      <c r="B371" t="s">
        <v>14</v>
      </c>
      <c r="C371" t="s">
        <v>15</v>
      </c>
      <c r="D371" t="s">
        <v>81</v>
      </c>
      <c r="E371">
        <v>1</v>
      </c>
      <c r="F371" t="s">
        <v>522</v>
      </c>
      <c r="H371">
        <v>7133608</v>
      </c>
      <c r="I371" t="str">
        <f>IF(ISBLANK(H371),"",INDEX(Sheet1!$F$2:$F$936,MATCH(H371,Sheet1!$C$2:$C$936,0)))</f>
        <v>Norway</v>
      </c>
      <c r="J371">
        <v>88332</v>
      </c>
      <c r="M371">
        <v>3330692.9819999998</v>
      </c>
      <c r="N371">
        <v>5.0000000000000001E-4</v>
      </c>
    </row>
    <row r="372" spans="1:14" x14ac:dyDescent="0.35">
      <c r="A372" s="1">
        <v>45657</v>
      </c>
      <c r="B372" t="s">
        <v>14</v>
      </c>
      <c r="C372" t="s">
        <v>15</v>
      </c>
      <c r="D372" t="s">
        <v>81</v>
      </c>
      <c r="E372">
        <v>1</v>
      </c>
      <c r="F372" t="s">
        <v>523</v>
      </c>
      <c r="H372" t="s">
        <v>524</v>
      </c>
      <c r="I372" t="str">
        <f>IF(ISBLANK(H372),"",INDEX(Sheet1!$F$2:$F$936,MATCH(H372,Sheet1!$C$2:$C$936,0)))</f>
        <v>United States</v>
      </c>
      <c r="J372">
        <v>43727</v>
      </c>
      <c r="M372">
        <v>3332083.517</v>
      </c>
      <c r="N372">
        <v>5.0000000000000001E-4</v>
      </c>
    </row>
    <row r="373" spans="1:14" x14ac:dyDescent="0.35">
      <c r="A373" s="1">
        <v>45657</v>
      </c>
      <c r="B373" t="s">
        <v>14</v>
      </c>
      <c r="C373" t="s">
        <v>15</v>
      </c>
      <c r="D373" t="s">
        <v>81</v>
      </c>
      <c r="E373">
        <v>1</v>
      </c>
      <c r="F373" t="s">
        <v>525</v>
      </c>
      <c r="H373">
        <v>5289837</v>
      </c>
      <c r="I373" t="str">
        <f>IF(ISBLANK(H373),"",INDEX(Sheet1!$F$2:$F$936,MATCH(H373,Sheet1!$C$2:$C$936,0)))</f>
        <v>Austria</v>
      </c>
      <c r="J373">
        <v>28974</v>
      </c>
      <c r="M373">
        <v>2875449.4589999998</v>
      </c>
      <c r="N373">
        <v>4.0000000000000002E-4</v>
      </c>
    </row>
    <row r="374" spans="1:14" x14ac:dyDescent="0.35">
      <c r="A374" s="1">
        <v>45657</v>
      </c>
      <c r="B374" t="s">
        <v>14</v>
      </c>
      <c r="C374" t="s">
        <v>15</v>
      </c>
      <c r="D374" t="s">
        <v>81</v>
      </c>
      <c r="E374">
        <v>1</v>
      </c>
      <c r="F374" t="s">
        <v>526</v>
      </c>
      <c r="H374">
        <v>7212477</v>
      </c>
      <c r="I374" t="str">
        <f>IF(ISBLANK(H374),"",INDEX(Sheet1!$F$2:$F$936,MATCH(H374,Sheet1!$C$2:$C$936,0)))</f>
        <v>France</v>
      </c>
      <c r="J374">
        <v>4942</v>
      </c>
      <c r="M374">
        <v>1928170.3019999999</v>
      </c>
      <c r="N374">
        <v>2.9999999999999997E-4</v>
      </c>
    </row>
    <row r="375" spans="1:14" x14ac:dyDescent="0.35">
      <c r="A375" s="1">
        <v>45657</v>
      </c>
      <c r="B375" t="s">
        <v>14</v>
      </c>
      <c r="C375" t="s">
        <v>15</v>
      </c>
      <c r="D375" t="s">
        <v>81</v>
      </c>
      <c r="E375">
        <v>1</v>
      </c>
      <c r="F375" t="s">
        <v>527</v>
      </c>
      <c r="H375" t="s">
        <v>528</v>
      </c>
      <c r="I375" t="str">
        <f>IF(ISBLANK(H375),"",INDEX(Sheet1!$F$2:$F$936,MATCH(H375,Sheet1!$C$2:$C$936,0)))</f>
        <v>Sweden</v>
      </c>
      <c r="J375">
        <v>7065</v>
      </c>
      <c r="M375">
        <v>304862.91729999997</v>
      </c>
      <c r="N375">
        <v>0</v>
      </c>
    </row>
    <row r="376" spans="1:14" x14ac:dyDescent="0.35">
      <c r="A376" s="1">
        <v>45657</v>
      </c>
      <c r="B376" t="s">
        <v>14</v>
      </c>
      <c r="C376" t="s">
        <v>15</v>
      </c>
      <c r="D376" t="s">
        <v>81</v>
      </c>
      <c r="E376">
        <v>1</v>
      </c>
      <c r="F376" t="s">
        <v>529</v>
      </c>
      <c r="H376" t="s">
        <v>530</v>
      </c>
      <c r="I376" t="str">
        <f>IF(ISBLANK(H376),"",INDEX(Sheet1!$F$2:$F$936,MATCH(H376,Sheet1!$C$2:$C$936,0)))</f>
        <v>SAR</v>
      </c>
      <c r="J376">
        <v>20469</v>
      </c>
      <c r="M376">
        <v>469845.16350000002</v>
      </c>
      <c r="N376">
        <v>1E-4</v>
      </c>
    </row>
    <row r="377" spans="1:14" x14ac:dyDescent="0.35">
      <c r="A377" s="1">
        <v>45657</v>
      </c>
      <c r="B377" t="s">
        <v>14</v>
      </c>
      <c r="C377" t="s">
        <v>15</v>
      </c>
      <c r="D377" t="s">
        <v>81</v>
      </c>
      <c r="E377">
        <v>1</v>
      </c>
      <c r="F377" t="s">
        <v>531</v>
      </c>
      <c r="H377" t="s">
        <v>532</v>
      </c>
      <c r="I377" t="str">
        <f>IF(ISBLANK(H377),"",INDEX(Sheet1!$F$2:$F$936,MATCH(H377,Sheet1!$C$2:$C$936,0)))</f>
        <v>GR</v>
      </c>
      <c r="J377">
        <v>178146</v>
      </c>
      <c r="M377">
        <v>664410.21089999995</v>
      </c>
      <c r="N377">
        <v>1E-4</v>
      </c>
    </row>
    <row r="378" spans="1:14" x14ac:dyDescent="0.35">
      <c r="A378" s="1">
        <v>45657</v>
      </c>
      <c r="B378" t="s">
        <v>14</v>
      </c>
      <c r="C378" t="s">
        <v>15</v>
      </c>
      <c r="D378" t="s">
        <v>81</v>
      </c>
      <c r="E378">
        <v>1</v>
      </c>
      <c r="F378" t="s">
        <v>533</v>
      </c>
      <c r="H378" t="s">
        <v>534</v>
      </c>
      <c r="I378" t="str">
        <f>IF(ISBLANK(H378),"",INDEX(Sheet1!$F$2:$F$936,MATCH(H378,Sheet1!$C$2:$C$936,0)))</f>
        <v>United States</v>
      </c>
      <c r="J378">
        <v>34015</v>
      </c>
      <c r="M378">
        <v>3154523.4670000002</v>
      </c>
      <c r="N378">
        <v>4.0000000000000002E-4</v>
      </c>
    </row>
    <row r="379" spans="1:14" x14ac:dyDescent="0.35">
      <c r="A379" s="1">
        <v>45657</v>
      </c>
      <c r="B379" t="s">
        <v>14</v>
      </c>
      <c r="C379" t="s">
        <v>15</v>
      </c>
      <c r="D379" t="s">
        <v>81</v>
      </c>
      <c r="E379">
        <v>1</v>
      </c>
      <c r="F379" t="s">
        <v>535</v>
      </c>
      <c r="H379" t="s">
        <v>536</v>
      </c>
      <c r="I379" t="str">
        <f>IF(ISBLANK(H379),"",INDEX(Sheet1!$F$2:$F$936,MATCH(H379,Sheet1!$C$2:$C$936,0)))</f>
        <v>Australia</v>
      </c>
      <c r="J379">
        <v>615711</v>
      </c>
      <c r="M379">
        <v>2961567.5890000002</v>
      </c>
      <c r="N379">
        <v>4.0000000000000002E-4</v>
      </c>
    </row>
    <row r="380" spans="1:14" x14ac:dyDescent="0.35">
      <c r="A380" s="1">
        <v>45657</v>
      </c>
      <c r="B380" t="s">
        <v>14</v>
      </c>
      <c r="C380" t="s">
        <v>15</v>
      </c>
      <c r="D380" t="s">
        <v>81</v>
      </c>
      <c r="E380">
        <v>1</v>
      </c>
      <c r="F380" t="s">
        <v>537</v>
      </c>
      <c r="H380">
        <v>2670519</v>
      </c>
      <c r="I380" t="str">
        <f>IF(ISBLANK(H380),"",INDEX(Sheet1!$F$2:$F$936,MATCH(H380,Sheet1!$C$2:$C$936,0)))</f>
        <v>United States</v>
      </c>
      <c r="J380">
        <v>13003</v>
      </c>
      <c r="M380">
        <v>790713.59030000004</v>
      </c>
      <c r="N380">
        <v>1E-4</v>
      </c>
    </row>
    <row r="381" spans="1:14" x14ac:dyDescent="0.35">
      <c r="A381" s="1">
        <v>45657</v>
      </c>
      <c r="B381" t="s">
        <v>14</v>
      </c>
      <c r="C381" t="s">
        <v>15</v>
      </c>
      <c r="D381" t="s">
        <v>81</v>
      </c>
      <c r="E381">
        <v>1</v>
      </c>
      <c r="F381" t="s">
        <v>538</v>
      </c>
      <c r="H381" t="s">
        <v>539</v>
      </c>
      <c r="I381" t="str">
        <f>IF(ISBLANK(H381),"",INDEX(Sheet1!$F$2:$F$936,MATCH(H381,Sheet1!$C$2:$C$936,0)))</f>
        <v>United States</v>
      </c>
      <c r="J381">
        <v>11832</v>
      </c>
      <c r="M381">
        <v>3560926.3059999999</v>
      </c>
      <c r="N381">
        <v>5.0000000000000001E-4</v>
      </c>
    </row>
    <row r="382" spans="1:14" x14ac:dyDescent="0.35">
      <c r="A382" s="1">
        <v>45657</v>
      </c>
      <c r="B382" t="s">
        <v>14</v>
      </c>
      <c r="C382" t="s">
        <v>15</v>
      </c>
      <c r="D382" t="s">
        <v>81</v>
      </c>
      <c r="E382">
        <v>1</v>
      </c>
      <c r="F382" t="s">
        <v>540</v>
      </c>
      <c r="H382">
        <v>2326618</v>
      </c>
      <c r="I382" t="str">
        <f>IF(ISBLANK(H382),"",INDEX(Sheet1!$F$2:$F$936,MATCH(H382,Sheet1!$C$2:$C$936,0)))</f>
        <v>United States</v>
      </c>
      <c r="J382">
        <v>46707</v>
      </c>
      <c r="M382">
        <v>8119311.5489999996</v>
      </c>
      <c r="N382">
        <v>1.1000000000000001E-3</v>
      </c>
    </row>
    <row r="383" spans="1:14" x14ac:dyDescent="0.35">
      <c r="A383" s="1">
        <v>45657</v>
      </c>
      <c r="B383" t="s">
        <v>14</v>
      </c>
      <c r="C383" t="s">
        <v>15</v>
      </c>
      <c r="D383" t="s">
        <v>81</v>
      </c>
      <c r="E383">
        <v>1</v>
      </c>
      <c r="F383" t="s">
        <v>541</v>
      </c>
      <c r="H383">
        <v>2427599</v>
      </c>
      <c r="I383" t="str">
        <f>IF(ISBLANK(H383),"",INDEX(Sheet1!$F$2:$F$936,MATCH(H383,Sheet1!$C$2:$C$936,0)))</f>
        <v>USD</v>
      </c>
      <c r="J383">
        <v>8016</v>
      </c>
      <c r="M383">
        <v>3254748.6669999999</v>
      </c>
      <c r="N383">
        <v>5.0000000000000001E-4</v>
      </c>
    </row>
    <row r="384" spans="1:14" x14ac:dyDescent="0.35">
      <c r="A384" s="1">
        <v>45657</v>
      </c>
      <c r="B384" t="s">
        <v>14</v>
      </c>
      <c r="C384" t="s">
        <v>15</v>
      </c>
      <c r="D384" t="s">
        <v>81</v>
      </c>
      <c r="E384">
        <v>1</v>
      </c>
      <c r="F384" t="s">
        <v>542</v>
      </c>
      <c r="H384">
        <v>2769796</v>
      </c>
      <c r="I384" t="str">
        <f>IF(ISBLANK(H384),"",INDEX(Sheet1!$F$2:$F$936,MATCH(H384,Sheet1!$C$2:$C$936,0)))</f>
        <v>United States</v>
      </c>
      <c r="J384">
        <v>30129</v>
      </c>
      <c r="M384">
        <v>3931424.5040000002</v>
      </c>
      <c r="N384">
        <v>5.0000000000000001E-4</v>
      </c>
    </row>
    <row r="385" spans="1:14" x14ac:dyDescent="0.35">
      <c r="A385" s="1">
        <v>45657</v>
      </c>
      <c r="B385" t="s">
        <v>14</v>
      </c>
      <c r="C385" t="s">
        <v>15</v>
      </c>
      <c r="D385" t="s">
        <v>81</v>
      </c>
      <c r="E385">
        <v>1</v>
      </c>
      <c r="F385" t="s">
        <v>543</v>
      </c>
      <c r="H385" t="s">
        <v>544</v>
      </c>
      <c r="I385" t="str">
        <f>IF(ISBLANK(H385),"",INDEX(Sheet1!$F$2:$F$936,MATCH(H385,Sheet1!$C$2:$C$936,0)))</f>
        <v>Ireland</v>
      </c>
      <c r="J385">
        <v>111749</v>
      </c>
      <c r="M385">
        <v>205617.34099999999</v>
      </c>
      <c r="N385">
        <v>0</v>
      </c>
    </row>
    <row r="386" spans="1:14" x14ac:dyDescent="0.35">
      <c r="A386" s="1">
        <v>45657</v>
      </c>
      <c r="B386" t="s">
        <v>14</v>
      </c>
      <c r="C386" t="s">
        <v>15</v>
      </c>
      <c r="D386" t="s">
        <v>81</v>
      </c>
      <c r="E386">
        <v>1</v>
      </c>
      <c r="F386" t="s">
        <v>545</v>
      </c>
      <c r="H386">
        <v>2342034</v>
      </c>
      <c r="I386" t="str">
        <f>IF(ISBLANK(H386),"",INDEX(Sheet1!$F$2:$F$936,MATCH(H386,Sheet1!$C$2:$C$936,0)))</f>
        <v>United States</v>
      </c>
      <c r="J386">
        <v>11044</v>
      </c>
      <c r="M386">
        <v>3666826.1910000001</v>
      </c>
      <c r="N386">
        <v>5.0000000000000001E-4</v>
      </c>
    </row>
    <row r="387" spans="1:14" x14ac:dyDescent="0.35">
      <c r="A387" s="1">
        <v>45657</v>
      </c>
      <c r="B387" t="s">
        <v>14</v>
      </c>
      <c r="C387" t="s">
        <v>15</v>
      </c>
      <c r="D387" t="s">
        <v>81</v>
      </c>
      <c r="E387">
        <v>1</v>
      </c>
      <c r="F387" t="s">
        <v>546</v>
      </c>
      <c r="H387" t="s">
        <v>547</v>
      </c>
      <c r="I387" t="str">
        <f>IF(ISBLANK(H387),"",INDEX(Sheet1!$F$2:$F$936,MATCH(H387,Sheet1!$C$2:$C$936,0)))</f>
        <v>NZ</v>
      </c>
      <c r="J387">
        <v>175562</v>
      </c>
      <c r="M387">
        <v>6074429.1069999998</v>
      </c>
      <c r="N387">
        <v>8.0000000000000004E-4</v>
      </c>
    </row>
    <row r="388" spans="1:14" x14ac:dyDescent="0.35">
      <c r="A388" s="1">
        <v>45657</v>
      </c>
      <c r="B388" t="s">
        <v>14</v>
      </c>
      <c r="C388" t="s">
        <v>15</v>
      </c>
      <c r="D388" t="s">
        <v>81</v>
      </c>
      <c r="E388">
        <v>1</v>
      </c>
      <c r="F388" t="s">
        <v>548</v>
      </c>
      <c r="H388" t="s">
        <v>549</v>
      </c>
      <c r="I388" t="str">
        <f>IF(ISBLANK(H388),"",INDEX(Sheet1!$F$2:$F$936,MATCH(H388,Sheet1!$C$2:$C$936,0)))</f>
        <v>AU</v>
      </c>
      <c r="J388">
        <v>555631</v>
      </c>
      <c r="M388">
        <v>1477977.412</v>
      </c>
      <c r="N388">
        <v>2.0000000000000001E-4</v>
      </c>
    </row>
    <row r="389" spans="1:14" x14ac:dyDescent="0.35">
      <c r="A389" s="1">
        <v>45657</v>
      </c>
      <c r="B389" t="s">
        <v>14</v>
      </c>
      <c r="C389" t="s">
        <v>15</v>
      </c>
      <c r="D389" t="s">
        <v>81</v>
      </c>
      <c r="E389">
        <v>1</v>
      </c>
      <c r="F389" t="s">
        <v>550</v>
      </c>
      <c r="H389">
        <v>6352147</v>
      </c>
      <c r="I389" t="str">
        <f>IF(ISBLANK(H389),"",INDEX(Sheet1!$F$2:$F$936,MATCH(H389,Sheet1!$C$2:$C$936,0)))</f>
        <v>Australia</v>
      </c>
      <c r="J389">
        <v>71565</v>
      </c>
      <c r="M389">
        <v>1193703.8740000001</v>
      </c>
      <c r="N389">
        <v>2.0000000000000001E-4</v>
      </c>
    </row>
    <row r="390" spans="1:14" x14ac:dyDescent="0.35">
      <c r="A390" s="1">
        <v>45657</v>
      </c>
      <c r="B390" t="s">
        <v>14</v>
      </c>
      <c r="C390" t="s">
        <v>15</v>
      </c>
      <c r="D390" t="s">
        <v>81</v>
      </c>
      <c r="E390">
        <v>1</v>
      </c>
      <c r="F390" t="s">
        <v>551</v>
      </c>
      <c r="H390" t="s">
        <v>552</v>
      </c>
      <c r="I390" t="str">
        <f>IF(ISBLANK(H390),"",INDEX(Sheet1!$F$2:$F$936,MATCH(H390,Sheet1!$C$2:$C$936,0)))</f>
        <v>Ireland</v>
      </c>
      <c r="J390">
        <v>676</v>
      </c>
      <c r="M390">
        <v>281571.98989999999</v>
      </c>
      <c r="N390">
        <v>0</v>
      </c>
    </row>
    <row r="391" spans="1:14" x14ac:dyDescent="0.35">
      <c r="A391" s="1">
        <v>45657</v>
      </c>
      <c r="B391" t="s">
        <v>14</v>
      </c>
      <c r="C391" t="s">
        <v>15</v>
      </c>
      <c r="D391" t="s">
        <v>81</v>
      </c>
      <c r="E391">
        <v>1</v>
      </c>
      <c r="F391" t="s">
        <v>553</v>
      </c>
      <c r="H391" t="s">
        <v>554</v>
      </c>
      <c r="I391" t="str">
        <f>IF(ISBLANK(H391),"",INDEX(Sheet1!$F$2:$F$936,MATCH(H391,Sheet1!$C$2:$C$936,0)))</f>
        <v>TRY</v>
      </c>
      <c r="J391">
        <v>9828</v>
      </c>
      <c r="M391">
        <v>420605.29499999998</v>
      </c>
      <c r="N391">
        <v>1E-4</v>
      </c>
    </row>
    <row r="392" spans="1:14" x14ac:dyDescent="0.35">
      <c r="A392" s="1">
        <v>45657</v>
      </c>
      <c r="B392" t="s">
        <v>14</v>
      </c>
      <c r="C392" t="s">
        <v>15</v>
      </c>
      <c r="D392" t="s">
        <v>81</v>
      </c>
      <c r="E392">
        <v>1</v>
      </c>
      <c r="F392" t="s">
        <v>555</v>
      </c>
      <c r="H392">
        <v>6086253</v>
      </c>
      <c r="I392" t="str">
        <f>IF(ISBLANK(H392),"",INDEX(Sheet1!$F$2:$F$936,MATCH(H392,Sheet1!$C$2:$C$936,0)))</f>
        <v>Australia</v>
      </c>
      <c r="J392">
        <v>680844</v>
      </c>
      <c r="M392">
        <v>12425406.439999999</v>
      </c>
      <c r="N392">
        <v>1.6999999999999901E-3</v>
      </c>
    </row>
    <row r="393" spans="1:14" x14ac:dyDescent="0.35">
      <c r="A393" s="1">
        <v>45657</v>
      </c>
      <c r="B393" t="s">
        <v>14</v>
      </c>
      <c r="C393" t="s">
        <v>15</v>
      </c>
      <c r="D393" t="s">
        <v>81</v>
      </c>
      <c r="E393">
        <v>1</v>
      </c>
      <c r="F393" t="s">
        <v>556</v>
      </c>
      <c r="H393" t="s">
        <v>557</v>
      </c>
      <c r="I393" t="str">
        <f>IF(ISBLANK(H393),"",INDEX(Sheet1!$F$2:$F$936,MATCH(H393,Sheet1!$C$2:$C$936,0)))</f>
        <v>United States</v>
      </c>
      <c r="J393">
        <v>21028</v>
      </c>
      <c r="M393">
        <v>3208767.84</v>
      </c>
      <c r="N393">
        <v>4.0000000000000002E-4</v>
      </c>
    </row>
    <row r="394" spans="1:14" x14ac:dyDescent="0.35">
      <c r="A394" s="1">
        <v>45657</v>
      </c>
      <c r="B394" t="s">
        <v>14</v>
      </c>
      <c r="C394" t="s">
        <v>15</v>
      </c>
      <c r="D394" t="s">
        <v>81</v>
      </c>
      <c r="E394">
        <v>1</v>
      </c>
      <c r="F394" t="s">
        <v>558</v>
      </c>
      <c r="H394">
        <v>5579550</v>
      </c>
      <c r="I394" t="str">
        <f>IF(ISBLANK(H394),"",INDEX(Sheet1!$F$2:$F$936,MATCH(H394,Sheet1!$C$2:$C$936,0)))</f>
        <v>Finland</v>
      </c>
      <c r="J394">
        <v>22139</v>
      </c>
      <c r="M394">
        <v>501524.15549999999</v>
      </c>
      <c r="N394">
        <v>1E-4</v>
      </c>
    </row>
    <row r="395" spans="1:14" x14ac:dyDescent="0.35">
      <c r="A395" s="1">
        <v>45657</v>
      </c>
      <c r="B395" t="s">
        <v>14</v>
      </c>
      <c r="C395" t="s">
        <v>15</v>
      </c>
      <c r="D395" t="s">
        <v>81</v>
      </c>
      <c r="E395">
        <v>1</v>
      </c>
      <c r="F395" t="s">
        <v>559</v>
      </c>
      <c r="H395" t="s">
        <v>560</v>
      </c>
      <c r="I395" t="str">
        <f>IF(ISBLANK(H395),"",INDEX(Sheet1!$F$2:$F$936,MATCH(H395,Sheet1!$C$2:$C$936,0)))</f>
        <v>CN</v>
      </c>
      <c r="J395">
        <v>171466</v>
      </c>
      <c r="M395">
        <v>1741470.777</v>
      </c>
      <c r="N395">
        <v>2.0000000000000001E-4</v>
      </c>
    </row>
    <row r="396" spans="1:14" x14ac:dyDescent="0.35">
      <c r="A396" s="1">
        <v>45657</v>
      </c>
      <c r="B396" t="s">
        <v>14</v>
      </c>
      <c r="C396" t="s">
        <v>15</v>
      </c>
      <c r="D396" t="s">
        <v>81</v>
      </c>
      <c r="E396">
        <v>1</v>
      </c>
      <c r="F396" t="s">
        <v>561</v>
      </c>
      <c r="H396" t="s">
        <v>562</v>
      </c>
      <c r="I396" t="str">
        <f>IF(ISBLANK(H396),"",INDEX(Sheet1!$F$2:$F$936,MATCH(H396,Sheet1!$C$2:$C$936,0)))</f>
        <v>United States</v>
      </c>
      <c r="J396">
        <v>2792</v>
      </c>
      <c r="M396">
        <v>219001.60579999999</v>
      </c>
      <c r="N396">
        <v>0</v>
      </c>
    </row>
    <row r="397" spans="1:14" x14ac:dyDescent="0.35">
      <c r="A397" s="1">
        <v>45657</v>
      </c>
      <c r="B397" t="s">
        <v>14</v>
      </c>
      <c r="C397" t="s">
        <v>15</v>
      </c>
      <c r="D397" t="s">
        <v>81</v>
      </c>
      <c r="E397">
        <v>1</v>
      </c>
      <c r="F397" t="s">
        <v>561</v>
      </c>
      <c r="H397" t="s">
        <v>563</v>
      </c>
      <c r="I397" t="str">
        <f>IF(ISBLANK(H397),"",INDEX(Sheet1!$F$2:$F$936,MATCH(H397,Sheet1!$C$2:$C$936,0)))</f>
        <v>United States</v>
      </c>
      <c r="J397">
        <v>42141</v>
      </c>
      <c r="M397">
        <v>3112534.5890000002</v>
      </c>
      <c r="N397">
        <v>4.0000000000000002E-4</v>
      </c>
    </row>
    <row r="398" spans="1:14" x14ac:dyDescent="0.35">
      <c r="A398" s="1">
        <v>45657</v>
      </c>
      <c r="B398" t="s">
        <v>14</v>
      </c>
      <c r="C398" t="s">
        <v>15</v>
      </c>
      <c r="D398" t="s">
        <v>81</v>
      </c>
      <c r="E398">
        <v>1</v>
      </c>
      <c r="F398" t="s">
        <v>564</v>
      </c>
      <c r="H398" t="s">
        <v>565</v>
      </c>
      <c r="I398" t="str">
        <f>IF(ISBLANK(H398),"",INDEX(Sheet1!$F$2:$F$936,MATCH(H398,Sheet1!$C$2:$C$936,0)))</f>
        <v>VND</v>
      </c>
      <c r="J398">
        <v>78531</v>
      </c>
      <c r="M398">
        <v>758975.73679999996</v>
      </c>
      <c r="N398">
        <v>1E-4</v>
      </c>
    </row>
    <row r="399" spans="1:14" x14ac:dyDescent="0.35">
      <c r="A399" s="1">
        <v>45657</v>
      </c>
      <c r="B399" t="s">
        <v>14</v>
      </c>
      <c r="C399" t="s">
        <v>15</v>
      </c>
      <c r="D399" t="s">
        <v>81</v>
      </c>
      <c r="E399">
        <v>1</v>
      </c>
      <c r="F399" t="s">
        <v>566</v>
      </c>
      <c r="H399">
        <v>6356365</v>
      </c>
      <c r="I399" t="str">
        <f>IF(ISBLANK(H399),"",INDEX(Sheet1!$F$2:$F$936,MATCH(H399,Sheet1!$C$2:$C$936,0)))</f>
        <v>Japan</v>
      </c>
      <c r="J399">
        <v>12716</v>
      </c>
      <c r="M399">
        <v>1117341.111</v>
      </c>
      <c r="N399">
        <v>2.0000000000000001E-4</v>
      </c>
    </row>
    <row r="400" spans="1:14" x14ac:dyDescent="0.35">
      <c r="A400" s="1">
        <v>45657</v>
      </c>
      <c r="B400" t="s">
        <v>14</v>
      </c>
      <c r="C400" t="s">
        <v>15</v>
      </c>
      <c r="D400" t="s">
        <v>81</v>
      </c>
      <c r="E400">
        <v>1</v>
      </c>
      <c r="F400" t="s">
        <v>567</v>
      </c>
      <c r="H400" t="s">
        <v>568</v>
      </c>
      <c r="I400" t="str">
        <f>IF(ISBLANK(H400),"",INDEX(Sheet1!$F$2:$F$936,MATCH(H400,Sheet1!$C$2:$C$936,0)))</f>
        <v>USD</v>
      </c>
      <c r="J400">
        <v>50746</v>
      </c>
      <c r="M400">
        <v>885987.89280000003</v>
      </c>
      <c r="N400">
        <v>1E-4</v>
      </c>
    </row>
    <row r="401" spans="1:14" x14ac:dyDescent="0.35">
      <c r="A401" s="1">
        <v>45657</v>
      </c>
      <c r="B401" t="s">
        <v>14</v>
      </c>
      <c r="C401" t="s">
        <v>15</v>
      </c>
      <c r="D401" t="s">
        <v>81</v>
      </c>
      <c r="E401">
        <v>1</v>
      </c>
      <c r="F401" t="s">
        <v>569</v>
      </c>
      <c r="H401" t="s">
        <v>570</v>
      </c>
      <c r="I401" t="str">
        <f>IF(ISBLANK(H401),"",INDEX(Sheet1!$F$2:$F$936,MATCH(H401,Sheet1!$C$2:$C$936,0)))</f>
        <v>AUD</v>
      </c>
      <c r="J401">
        <v>1459910</v>
      </c>
      <c r="M401">
        <v>1905182.1580000001</v>
      </c>
      <c r="N401">
        <v>2.9999999999999997E-4</v>
      </c>
    </row>
    <row r="402" spans="1:14" x14ac:dyDescent="0.35">
      <c r="A402" s="1">
        <v>45657</v>
      </c>
      <c r="B402" t="s">
        <v>14</v>
      </c>
      <c r="C402" t="s">
        <v>15</v>
      </c>
      <c r="D402" t="s">
        <v>81</v>
      </c>
      <c r="E402">
        <v>1</v>
      </c>
      <c r="F402" t="s">
        <v>571</v>
      </c>
      <c r="H402">
        <v>6133405</v>
      </c>
      <c r="I402" t="str">
        <f>IF(ISBLANK(H402),"",INDEX(Sheet1!$F$2:$F$936,MATCH(H402,Sheet1!$C$2:$C$936,0)))</f>
        <v>India</v>
      </c>
      <c r="J402">
        <v>187662</v>
      </c>
      <c r="M402">
        <v>675803.14419999998</v>
      </c>
      <c r="N402">
        <v>1E-4</v>
      </c>
    </row>
    <row r="403" spans="1:14" x14ac:dyDescent="0.35">
      <c r="A403" s="1">
        <v>45657</v>
      </c>
      <c r="B403" t="s">
        <v>14</v>
      </c>
      <c r="C403" t="s">
        <v>15</v>
      </c>
      <c r="D403" t="s">
        <v>81</v>
      </c>
      <c r="E403">
        <v>1</v>
      </c>
      <c r="F403" t="s">
        <v>572</v>
      </c>
      <c r="H403" t="s">
        <v>573</v>
      </c>
      <c r="I403" t="str">
        <f>IF(ISBLANK(H403),"",INDEX(Sheet1!$F$2:$F$936,MATCH(H403,Sheet1!$C$2:$C$936,0)))</f>
        <v>Portugal</v>
      </c>
      <c r="J403">
        <v>107051</v>
      </c>
      <c r="M403">
        <v>2852079.1140000001</v>
      </c>
      <c r="N403">
        <v>4.0000000000000002E-4</v>
      </c>
    </row>
    <row r="404" spans="1:14" x14ac:dyDescent="0.35">
      <c r="A404" s="1">
        <v>45657</v>
      </c>
      <c r="B404" t="s">
        <v>14</v>
      </c>
      <c r="C404" t="s">
        <v>15</v>
      </c>
      <c r="D404" t="s">
        <v>81</v>
      </c>
      <c r="E404">
        <v>1</v>
      </c>
      <c r="F404" t="s">
        <v>574</v>
      </c>
      <c r="H404" t="s">
        <v>575</v>
      </c>
      <c r="I404" t="str">
        <f>IF(ISBLANK(H404),"",INDEX(Sheet1!$F$2:$F$936,MATCH(H404,Sheet1!$C$2:$C$936,0)))</f>
        <v>Switzerland</v>
      </c>
      <c r="J404">
        <v>10231</v>
      </c>
      <c r="M404">
        <v>3409881.2259999998</v>
      </c>
      <c r="N404">
        <v>5.0000000000000001E-4</v>
      </c>
    </row>
    <row r="405" spans="1:14" x14ac:dyDescent="0.35">
      <c r="A405" s="1">
        <v>45657</v>
      </c>
      <c r="B405" t="s">
        <v>14</v>
      </c>
      <c r="C405" t="s">
        <v>15</v>
      </c>
      <c r="D405" t="s">
        <v>81</v>
      </c>
      <c r="E405">
        <v>1</v>
      </c>
      <c r="F405" t="s">
        <v>576</v>
      </c>
      <c r="H405">
        <v>2372763</v>
      </c>
      <c r="I405" t="str">
        <f>IF(ISBLANK(H405),"",INDEX(Sheet1!$F$2:$F$936,MATCH(H405,Sheet1!$C$2:$C$936,0)))</f>
        <v>United States</v>
      </c>
      <c r="J405">
        <v>1213</v>
      </c>
      <c r="M405">
        <v>949285.52119999996</v>
      </c>
      <c r="N405">
        <v>1E-4</v>
      </c>
    </row>
    <row r="406" spans="1:14" x14ac:dyDescent="0.35">
      <c r="A406" s="1">
        <v>45657</v>
      </c>
      <c r="B406" t="s">
        <v>14</v>
      </c>
      <c r="C406" t="s">
        <v>15</v>
      </c>
      <c r="D406" t="s">
        <v>81</v>
      </c>
      <c r="E406">
        <v>1</v>
      </c>
      <c r="F406" t="s">
        <v>577</v>
      </c>
      <c r="H406" t="s">
        <v>578</v>
      </c>
      <c r="I406" t="str">
        <f>IF(ISBLANK(H406),"",INDEX(Sheet1!$F$2:$F$936,MATCH(H406,Sheet1!$C$2:$C$936,0)))</f>
        <v>United States</v>
      </c>
      <c r="J406">
        <v>26509</v>
      </c>
      <c r="M406">
        <v>7141893.6670000004</v>
      </c>
      <c r="N406">
        <v>1E-3</v>
      </c>
    </row>
    <row r="407" spans="1:14" x14ac:dyDescent="0.35">
      <c r="A407" s="1">
        <v>45657</v>
      </c>
      <c r="B407" t="s">
        <v>14</v>
      </c>
      <c r="C407" t="s">
        <v>15</v>
      </c>
      <c r="D407" t="s">
        <v>81</v>
      </c>
      <c r="E407">
        <v>1</v>
      </c>
      <c r="F407" t="s">
        <v>579</v>
      </c>
      <c r="H407" t="s">
        <v>580</v>
      </c>
      <c r="I407" t="str">
        <f>IF(ISBLANK(H407),"",INDEX(Sheet1!$F$2:$F$936,MATCH(H407,Sheet1!$C$2:$C$936,0)))</f>
        <v>United States</v>
      </c>
      <c r="J407">
        <v>2850</v>
      </c>
      <c r="M407">
        <v>359785.12170000002</v>
      </c>
      <c r="N407">
        <v>1E-4</v>
      </c>
    </row>
    <row r="408" spans="1:14" x14ac:dyDescent="0.35">
      <c r="A408" s="1">
        <v>45657</v>
      </c>
      <c r="B408" t="s">
        <v>14</v>
      </c>
      <c r="C408" t="s">
        <v>15</v>
      </c>
      <c r="D408" t="s">
        <v>81</v>
      </c>
      <c r="E408">
        <v>1</v>
      </c>
      <c r="F408" t="s">
        <v>581</v>
      </c>
      <c r="H408">
        <v>4557104</v>
      </c>
      <c r="I408" t="str">
        <f>IF(ISBLANK(H408),"",INDEX(Sheet1!$F$2:$F$936,MATCH(H408,Sheet1!$C$2:$C$936,0)))</f>
        <v>EUR</v>
      </c>
      <c r="J408">
        <v>13601</v>
      </c>
      <c r="M408">
        <v>1089590.9310000001</v>
      </c>
      <c r="N408">
        <v>2.0000000000000001E-4</v>
      </c>
    </row>
    <row r="409" spans="1:14" x14ac:dyDescent="0.35">
      <c r="A409" s="1">
        <v>45657</v>
      </c>
      <c r="B409" t="s">
        <v>14</v>
      </c>
      <c r="C409" t="s">
        <v>15</v>
      </c>
      <c r="D409" t="s">
        <v>81</v>
      </c>
      <c r="E409">
        <v>1</v>
      </c>
      <c r="F409" t="s">
        <v>582</v>
      </c>
      <c r="H409">
        <v>6531827</v>
      </c>
      <c r="I409" t="str">
        <f>IF(ISBLANK(H409),"",INDEX(Sheet1!$F$2:$F$936,MATCH(H409,Sheet1!$C$2:$C$936,0)))</f>
        <v>HKD</v>
      </c>
      <c r="J409">
        <v>409485</v>
      </c>
      <c r="M409">
        <v>1260078.4839999999</v>
      </c>
      <c r="N409">
        <v>2.0000000000000001E-4</v>
      </c>
    </row>
    <row r="410" spans="1:14" x14ac:dyDescent="0.35">
      <c r="A410" s="1">
        <v>45657</v>
      </c>
      <c r="B410" t="s">
        <v>14</v>
      </c>
      <c r="C410" t="s">
        <v>15</v>
      </c>
      <c r="D410" t="s">
        <v>81</v>
      </c>
      <c r="E410">
        <v>1</v>
      </c>
      <c r="F410" t="s">
        <v>583</v>
      </c>
      <c r="H410" t="s">
        <v>584</v>
      </c>
      <c r="I410" t="str">
        <f>IF(ISBLANK(H410),"",INDEX(Sheet1!$F$2:$F$936,MATCH(H410,Sheet1!$C$2:$C$936,0)))</f>
        <v>United States</v>
      </c>
      <c r="J410">
        <v>63260</v>
      </c>
      <c r="M410">
        <v>2797487.7230000002</v>
      </c>
      <c r="N410">
        <v>4.0000000000000002E-4</v>
      </c>
    </row>
    <row r="411" spans="1:14" x14ac:dyDescent="0.35">
      <c r="A411" s="1">
        <v>45657</v>
      </c>
      <c r="B411" t="s">
        <v>14</v>
      </c>
      <c r="C411" t="s">
        <v>15</v>
      </c>
      <c r="D411" t="s">
        <v>81</v>
      </c>
      <c r="E411">
        <v>1</v>
      </c>
      <c r="F411" t="s">
        <v>585</v>
      </c>
      <c r="H411" t="s">
        <v>586</v>
      </c>
      <c r="I411" t="str">
        <f>IF(ISBLANK(H411),"",INDEX(Sheet1!$F$2:$F$936,MATCH(H411,Sheet1!$C$2:$C$936,0)))</f>
        <v>United States</v>
      </c>
      <c r="J411">
        <v>46823</v>
      </c>
      <c r="M411">
        <v>4028529.608</v>
      </c>
      <c r="N411">
        <v>5.9999999999999995E-4</v>
      </c>
    </row>
    <row r="412" spans="1:14" x14ac:dyDescent="0.35">
      <c r="A412" s="1">
        <v>45657</v>
      </c>
      <c r="B412" t="s">
        <v>14</v>
      </c>
      <c r="C412" t="s">
        <v>15</v>
      </c>
      <c r="D412" t="s">
        <v>81</v>
      </c>
      <c r="E412">
        <v>1</v>
      </c>
      <c r="F412" t="s">
        <v>587</v>
      </c>
      <c r="H412" t="s">
        <v>588</v>
      </c>
      <c r="I412" t="str">
        <f>IF(ISBLANK(H412),"",INDEX(Sheet1!$F$2:$F$936,MATCH(H412,Sheet1!$C$2:$C$936,0)))</f>
        <v>USD</v>
      </c>
      <c r="M412">
        <v>457350.49859999999</v>
      </c>
      <c r="N412">
        <v>1E-4</v>
      </c>
    </row>
    <row r="413" spans="1:14" x14ac:dyDescent="0.35">
      <c r="A413" s="1">
        <v>45657</v>
      </c>
      <c r="B413" t="s">
        <v>14</v>
      </c>
      <c r="C413" t="s">
        <v>15</v>
      </c>
      <c r="D413" t="s">
        <v>81</v>
      </c>
      <c r="E413">
        <v>1</v>
      </c>
      <c r="F413" t="s">
        <v>589</v>
      </c>
      <c r="H413">
        <v>2254645</v>
      </c>
      <c r="I413" t="str">
        <f>IF(ISBLANK(H413),"",INDEX(Sheet1!$F$2:$F$936,MATCH(H413,Sheet1!$C$2:$C$936,0)))</f>
        <v>Canada</v>
      </c>
      <c r="J413">
        <v>15947</v>
      </c>
      <c r="M413">
        <v>1199895.247</v>
      </c>
      <c r="N413">
        <v>2.0000000000000001E-4</v>
      </c>
    </row>
    <row r="414" spans="1:14" x14ac:dyDescent="0.35">
      <c r="A414" s="1">
        <v>45657</v>
      </c>
      <c r="B414" t="s">
        <v>14</v>
      </c>
      <c r="C414" t="s">
        <v>15</v>
      </c>
      <c r="D414" t="s">
        <v>81</v>
      </c>
      <c r="E414">
        <v>1</v>
      </c>
      <c r="F414" t="s">
        <v>590</v>
      </c>
      <c r="H414">
        <v>2369174</v>
      </c>
      <c r="I414" t="str">
        <f>IF(ISBLANK(H414),"",INDEX(Sheet1!$F$2:$F$936,MATCH(H414,Sheet1!$C$2:$C$936,0)))</f>
        <v>United States</v>
      </c>
      <c r="J414">
        <v>37404</v>
      </c>
      <c r="M414">
        <v>5578994.3550000004</v>
      </c>
      <c r="N414">
        <v>8.0000000000000004E-4</v>
      </c>
    </row>
    <row r="415" spans="1:14" x14ac:dyDescent="0.35">
      <c r="A415" s="1">
        <v>45657</v>
      </c>
      <c r="B415" t="s">
        <v>14</v>
      </c>
      <c r="C415" t="s">
        <v>15</v>
      </c>
      <c r="D415" t="s">
        <v>81</v>
      </c>
      <c r="E415">
        <v>1</v>
      </c>
      <c r="F415" t="s">
        <v>591</v>
      </c>
      <c r="H415">
        <v>5980613</v>
      </c>
      <c r="I415" t="str">
        <f>IF(ISBLANK(H415),"",INDEX(Sheet1!$F$2:$F$936,MATCH(H415,Sheet1!$C$2:$C$936,0)))</f>
        <v>Switzerland</v>
      </c>
      <c r="J415">
        <v>476</v>
      </c>
      <c r="M415">
        <v>3363492.943</v>
      </c>
      <c r="N415">
        <v>5.0000000000000001E-4</v>
      </c>
    </row>
    <row r="416" spans="1:14" x14ac:dyDescent="0.35">
      <c r="A416" s="1">
        <v>45657</v>
      </c>
      <c r="B416" t="s">
        <v>14</v>
      </c>
      <c r="C416" t="s">
        <v>15</v>
      </c>
      <c r="D416" t="s">
        <v>81</v>
      </c>
      <c r="E416">
        <v>1</v>
      </c>
      <c r="F416" t="s">
        <v>592</v>
      </c>
      <c r="H416" t="s">
        <v>593</v>
      </c>
      <c r="I416" t="str">
        <f>IF(ISBLANK(H416),"",INDEX(Sheet1!$F$2:$F$936,MATCH(H416,Sheet1!$C$2:$C$936,0)))</f>
        <v>United Kingdom</v>
      </c>
      <c r="J416">
        <v>58362</v>
      </c>
      <c r="M416">
        <v>417196.41840000002</v>
      </c>
      <c r="N416">
        <v>1E-4</v>
      </c>
    </row>
    <row r="417" spans="1:14" x14ac:dyDescent="0.35">
      <c r="A417" s="1">
        <v>45657</v>
      </c>
      <c r="B417" t="s">
        <v>14</v>
      </c>
      <c r="C417" t="s">
        <v>15</v>
      </c>
      <c r="D417" t="s">
        <v>81</v>
      </c>
      <c r="E417">
        <v>1</v>
      </c>
      <c r="F417" t="s">
        <v>594</v>
      </c>
      <c r="H417" t="s">
        <v>595</v>
      </c>
      <c r="I417" t="str">
        <f>IF(ISBLANK(H417),"",INDEX(Sheet1!$F$2:$F$936,MATCH(H417,Sheet1!$C$2:$C$936,0)))</f>
        <v>Luxembourg</v>
      </c>
      <c r="J417">
        <v>8191</v>
      </c>
      <c r="M417">
        <v>2835298.46</v>
      </c>
      <c r="N417">
        <v>4.0000000000000002E-4</v>
      </c>
    </row>
    <row r="418" spans="1:14" x14ac:dyDescent="0.35">
      <c r="A418" s="1">
        <v>45657</v>
      </c>
      <c r="B418" t="s">
        <v>14</v>
      </c>
      <c r="C418" t="s">
        <v>15</v>
      </c>
      <c r="D418" t="s">
        <v>81</v>
      </c>
      <c r="E418">
        <v>1</v>
      </c>
      <c r="F418" t="s">
        <v>596</v>
      </c>
      <c r="H418" t="s">
        <v>597</v>
      </c>
      <c r="I418" t="str">
        <f>IF(ISBLANK(H418),"",INDEX(Sheet1!$F$2:$F$936,MATCH(H418,Sheet1!$C$2:$C$936,0)))</f>
        <v>United States</v>
      </c>
      <c r="J418">
        <v>10813</v>
      </c>
      <c r="M418">
        <v>3444606.63</v>
      </c>
      <c r="N418">
        <v>5.0000000000000001E-4</v>
      </c>
    </row>
    <row r="419" spans="1:14" x14ac:dyDescent="0.35">
      <c r="A419" s="1">
        <v>45657</v>
      </c>
      <c r="B419" t="s">
        <v>14</v>
      </c>
      <c r="C419" t="s">
        <v>15</v>
      </c>
      <c r="D419" t="s">
        <v>81</v>
      </c>
      <c r="E419">
        <v>1</v>
      </c>
      <c r="F419" t="s">
        <v>598</v>
      </c>
      <c r="H419" t="s">
        <v>599</v>
      </c>
      <c r="I419" t="str">
        <f>IF(ISBLANK(H419),"",INDEX(Sheet1!$F$2:$F$936,MATCH(H419,Sheet1!$C$2:$C$936,0)))</f>
        <v>AUD</v>
      </c>
      <c r="J419">
        <v>392272</v>
      </c>
      <c r="M419">
        <v>800234.63679999998</v>
      </c>
      <c r="N419">
        <v>1E-4</v>
      </c>
    </row>
    <row r="420" spans="1:14" x14ac:dyDescent="0.35">
      <c r="A420" s="1">
        <v>45657</v>
      </c>
      <c r="B420" t="s">
        <v>14</v>
      </c>
      <c r="C420" t="s">
        <v>15</v>
      </c>
      <c r="D420" t="s">
        <v>81</v>
      </c>
      <c r="E420">
        <v>1</v>
      </c>
      <c r="F420" t="s">
        <v>600</v>
      </c>
      <c r="H420">
        <v>2407966</v>
      </c>
      <c r="I420" t="str">
        <f>IF(ISBLANK(H420),"",INDEX(Sheet1!$F$2:$F$936,MATCH(H420,Sheet1!$C$2:$C$936,0)))</f>
        <v>United States</v>
      </c>
      <c r="J420">
        <v>7538</v>
      </c>
      <c r="M420">
        <v>6973102.5029999996</v>
      </c>
      <c r="N420">
        <v>1E-3</v>
      </c>
    </row>
    <row r="421" spans="1:14" x14ac:dyDescent="0.35">
      <c r="A421" s="1">
        <v>45657</v>
      </c>
      <c r="B421" t="s">
        <v>14</v>
      </c>
      <c r="C421" t="s">
        <v>15</v>
      </c>
      <c r="D421" t="s">
        <v>81</v>
      </c>
      <c r="E421">
        <v>1</v>
      </c>
      <c r="F421" t="s">
        <v>601</v>
      </c>
      <c r="H421" t="s">
        <v>602</v>
      </c>
      <c r="I421" t="str">
        <f>IF(ISBLANK(H421),"",INDEX(Sheet1!$F$2:$F$936,MATCH(H421,Sheet1!$C$2:$C$936,0)))</f>
        <v>AUD</v>
      </c>
      <c r="J421">
        <v>652538</v>
      </c>
      <c r="M421">
        <v>1350754.0989999999</v>
      </c>
      <c r="N421">
        <v>2.0000000000000001E-4</v>
      </c>
    </row>
    <row r="422" spans="1:14" x14ac:dyDescent="0.35">
      <c r="A422" s="1">
        <v>45657</v>
      </c>
      <c r="B422" t="s">
        <v>14</v>
      </c>
      <c r="C422" t="s">
        <v>15</v>
      </c>
      <c r="D422" t="s">
        <v>81</v>
      </c>
      <c r="E422">
        <v>1</v>
      </c>
      <c r="F422" t="s">
        <v>603</v>
      </c>
      <c r="H422" t="s">
        <v>604</v>
      </c>
      <c r="I422" t="str">
        <f>IF(ISBLANK(H422),"",INDEX(Sheet1!$F$2:$F$936,MATCH(H422,Sheet1!$C$2:$C$936,0)))</f>
        <v>AUD</v>
      </c>
      <c r="J422">
        <v>380818</v>
      </c>
      <c r="M422">
        <v>933004.68689999997</v>
      </c>
      <c r="N422">
        <v>1E-4</v>
      </c>
    </row>
    <row r="423" spans="1:14" x14ac:dyDescent="0.35">
      <c r="A423" s="1">
        <v>45657</v>
      </c>
      <c r="B423" t="s">
        <v>14</v>
      </c>
      <c r="C423" t="s">
        <v>15</v>
      </c>
      <c r="D423" t="s">
        <v>81</v>
      </c>
      <c r="E423">
        <v>1</v>
      </c>
      <c r="F423" t="s">
        <v>605</v>
      </c>
      <c r="H423" t="s">
        <v>606</v>
      </c>
      <c r="I423" t="str">
        <f>IF(ISBLANK(H423),"",INDEX(Sheet1!$F$2:$F$936,MATCH(H423,Sheet1!$C$2:$C$936,0)))</f>
        <v>Singapore</v>
      </c>
      <c r="J423">
        <v>176764</v>
      </c>
      <c r="M423">
        <v>1344680.277</v>
      </c>
      <c r="N423">
        <v>2.0000000000000001E-4</v>
      </c>
    </row>
    <row r="424" spans="1:14" x14ac:dyDescent="0.35">
      <c r="A424" s="1">
        <v>45657</v>
      </c>
      <c r="B424" t="s">
        <v>14</v>
      </c>
      <c r="C424" t="s">
        <v>15</v>
      </c>
      <c r="D424" t="s">
        <v>81</v>
      </c>
      <c r="E424">
        <v>1</v>
      </c>
      <c r="F424" t="s">
        <v>607</v>
      </c>
      <c r="H424">
        <v>6135876</v>
      </c>
      <c r="I424" t="str">
        <f>IF(ISBLANK(H424),"",INDEX(Sheet1!$F$2:$F$936,MATCH(H424,Sheet1!$C$2:$C$936,0)))</f>
        <v>AUD</v>
      </c>
      <c r="J424">
        <v>1598301</v>
      </c>
      <c r="M424">
        <v>351626.32189999998</v>
      </c>
      <c r="N424">
        <v>0</v>
      </c>
    </row>
    <row r="425" spans="1:14" x14ac:dyDescent="0.35">
      <c r="A425" s="1">
        <v>45657</v>
      </c>
      <c r="B425" t="s">
        <v>14</v>
      </c>
      <c r="C425" t="s">
        <v>15</v>
      </c>
      <c r="D425" t="s">
        <v>81</v>
      </c>
      <c r="E425">
        <v>1</v>
      </c>
      <c r="F425" t="s">
        <v>608</v>
      </c>
      <c r="H425">
        <v>2384951</v>
      </c>
      <c r="I425" t="str">
        <f>IF(ISBLANK(H425),"",INDEX(Sheet1!$F$2:$F$936,MATCH(H425,Sheet1!$C$2:$C$936,0)))</f>
        <v>Canada</v>
      </c>
      <c r="J425">
        <v>56339</v>
      </c>
      <c r="M425">
        <v>3005911.0380000002</v>
      </c>
      <c r="N425">
        <v>4.0000000000000002E-4</v>
      </c>
    </row>
    <row r="426" spans="1:14" x14ac:dyDescent="0.35">
      <c r="A426" s="1">
        <v>45657</v>
      </c>
      <c r="B426" t="s">
        <v>14</v>
      </c>
      <c r="C426" t="s">
        <v>15</v>
      </c>
      <c r="D426" t="s">
        <v>81</v>
      </c>
      <c r="E426">
        <v>1</v>
      </c>
      <c r="F426" t="s">
        <v>609</v>
      </c>
      <c r="H426">
        <v>2421041</v>
      </c>
      <c r="I426" t="str">
        <f>IF(ISBLANK(H426),"",INDEX(Sheet1!$F$2:$F$936,MATCH(H426,Sheet1!$C$2:$C$936,0)))</f>
        <v>Mexico</v>
      </c>
      <c r="J426">
        <v>14233</v>
      </c>
      <c r="M426">
        <v>148034.7458</v>
      </c>
      <c r="N426">
        <v>0</v>
      </c>
    </row>
    <row r="427" spans="1:14" x14ac:dyDescent="0.35">
      <c r="A427" s="1">
        <v>45657</v>
      </c>
      <c r="B427" t="s">
        <v>14</v>
      </c>
      <c r="C427" t="s">
        <v>15</v>
      </c>
      <c r="D427" t="s">
        <v>81</v>
      </c>
      <c r="E427">
        <v>1</v>
      </c>
      <c r="F427" t="s">
        <v>610</v>
      </c>
      <c r="H427" t="s">
        <v>611</v>
      </c>
      <c r="I427" t="str">
        <f>IF(ISBLANK(H427),"",INDEX(Sheet1!$F$2:$F$936,MATCH(H427,Sheet1!$C$2:$C$936,0)))</f>
        <v>United Kingdom</v>
      </c>
      <c r="J427">
        <v>78937</v>
      </c>
      <c r="M427">
        <v>2149172.8459999999</v>
      </c>
      <c r="N427">
        <v>2.9999999999999997E-4</v>
      </c>
    </row>
    <row r="428" spans="1:14" x14ac:dyDescent="0.35">
      <c r="A428" s="1">
        <v>45657</v>
      </c>
      <c r="B428" t="s">
        <v>14</v>
      </c>
      <c r="C428" t="s">
        <v>15</v>
      </c>
      <c r="D428" t="s">
        <v>81</v>
      </c>
      <c r="E428">
        <v>1</v>
      </c>
      <c r="F428" t="s">
        <v>612</v>
      </c>
      <c r="H428">
        <v>6392949</v>
      </c>
      <c r="I428" t="str">
        <f>IF(ISBLANK(H428),"",INDEX(Sheet1!$F$2:$F$936,MATCH(H428,Sheet1!$C$2:$C$936,0)))</f>
        <v>AUD</v>
      </c>
      <c r="J428">
        <v>368739</v>
      </c>
      <c r="M428">
        <v>892347.48149999999</v>
      </c>
      <c r="N428">
        <v>1E-4</v>
      </c>
    </row>
    <row r="429" spans="1:14" x14ac:dyDescent="0.35">
      <c r="A429" s="1">
        <v>45657</v>
      </c>
      <c r="B429" t="s">
        <v>14</v>
      </c>
      <c r="C429" t="s">
        <v>15</v>
      </c>
      <c r="D429" t="s">
        <v>81</v>
      </c>
      <c r="E429">
        <v>1</v>
      </c>
      <c r="F429" t="s">
        <v>613</v>
      </c>
      <c r="H429" t="s">
        <v>614</v>
      </c>
      <c r="I429" t="str">
        <f>IF(ISBLANK(H429),"",INDEX(Sheet1!$F$2:$F$936,MATCH(H429,Sheet1!$C$2:$C$936,0)))</f>
        <v>USD</v>
      </c>
      <c r="J429">
        <v>27858</v>
      </c>
      <c r="M429">
        <v>1486158.93</v>
      </c>
      <c r="N429">
        <v>2.0000000000000001E-4</v>
      </c>
    </row>
    <row r="430" spans="1:14" x14ac:dyDescent="0.35">
      <c r="A430" s="1">
        <v>45657</v>
      </c>
      <c r="B430" t="s">
        <v>14</v>
      </c>
      <c r="C430" t="s">
        <v>15</v>
      </c>
      <c r="D430" t="s">
        <v>81</v>
      </c>
      <c r="E430">
        <v>1</v>
      </c>
      <c r="F430" t="s">
        <v>615</v>
      </c>
      <c r="H430" t="s">
        <v>616</v>
      </c>
      <c r="I430" t="str">
        <f>IF(ISBLANK(H430),"",INDEX(Sheet1!$F$2:$F$936,MATCH(H430,Sheet1!$C$2:$C$936,0)))</f>
        <v>HK</v>
      </c>
      <c r="J430">
        <v>429244</v>
      </c>
      <c r="M430">
        <v>1417269.382</v>
      </c>
      <c r="N430">
        <v>2.0000000000000001E-4</v>
      </c>
    </row>
    <row r="431" spans="1:14" x14ac:dyDescent="0.35">
      <c r="A431" s="1">
        <v>45657</v>
      </c>
      <c r="B431" t="s">
        <v>14</v>
      </c>
      <c r="C431" t="s">
        <v>15</v>
      </c>
      <c r="D431" t="s">
        <v>81</v>
      </c>
      <c r="E431">
        <v>1</v>
      </c>
      <c r="F431" t="s">
        <v>617</v>
      </c>
      <c r="H431" t="s">
        <v>618</v>
      </c>
      <c r="I431" t="str">
        <f>IF(ISBLANK(H431),"",INDEX(Sheet1!$F$2:$F$936,MATCH(H431,Sheet1!$C$2:$C$936,0)))</f>
        <v>CNY</v>
      </c>
      <c r="J431">
        <v>46140</v>
      </c>
      <c r="M431">
        <v>290561.67690000002</v>
      </c>
      <c r="N431">
        <v>0</v>
      </c>
    </row>
    <row r="432" spans="1:14" x14ac:dyDescent="0.35">
      <c r="A432" s="1">
        <v>45657</v>
      </c>
      <c r="B432" t="s">
        <v>14</v>
      </c>
      <c r="C432" t="s">
        <v>15</v>
      </c>
      <c r="D432" t="s">
        <v>81</v>
      </c>
      <c r="E432">
        <v>1</v>
      </c>
      <c r="F432" t="s">
        <v>619</v>
      </c>
      <c r="H432" t="s">
        <v>620</v>
      </c>
      <c r="I432" t="str">
        <f>IF(ISBLANK(H432),"",INDEX(Sheet1!$F$2:$F$936,MATCH(H432,Sheet1!$C$2:$C$936,0)))</f>
        <v>China</v>
      </c>
      <c r="J432">
        <v>82247</v>
      </c>
      <c r="M432">
        <v>469418.52889999998</v>
      </c>
      <c r="N432">
        <v>1E-4</v>
      </c>
    </row>
    <row r="433" spans="1:14" x14ac:dyDescent="0.35">
      <c r="A433" s="1">
        <v>45657</v>
      </c>
      <c r="B433" t="s">
        <v>14</v>
      </c>
      <c r="C433" t="s">
        <v>15</v>
      </c>
      <c r="D433" t="s">
        <v>81</v>
      </c>
      <c r="E433">
        <v>1</v>
      </c>
      <c r="F433" t="s">
        <v>621</v>
      </c>
      <c r="H433">
        <v>2405302</v>
      </c>
      <c r="I433" t="str">
        <f>IF(ISBLANK(H433),"",INDEX(Sheet1!$F$2:$F$936,MATCH(H433,Sheet1!$C$2:$C$936,0)))</f>
        <v>United States</v>
      </c>
      <c r="J433">
        <v>112625</v>
      </c>
      <c r="M433">
        <v>4945918.9689999996</v>
      </c>
      <c r="N433">
        <v>6.9999999999999891E-4</v>
      </c>
    </row>
    <row r="434" spans="1:14" x14ac:dyDescent="0.35">
      <c r="A434" s="1">
        <v>45657</v>
      </c>
      <c r="B434" t="s">
        <v>14</v>
      </c>
      <c r="C434" t="s">
        <v>15</v>
      </c>
      <c r="D434" t="s">
        <v>81</v>
      </c>
      <c r="E434">
        <v>1</v>
      </c>
      <c r="F434" t="s">
        <v>622</v>
      </c>
      <c r="H434" t="s">
        <v>623</v>
      </c>
      <c r="I434" t="str">
        <f>IF(ISBLANK(H434),"",INDEX(Sheet1!$F$2:$F$936,MATCH(H434,Sheet1!$C$2:$C$936,0)))</f>
        <v>South Korea</v>
      </c>
      <c r="J434">
        <v>17203</v>
      </c>
      <c r="M434">
        <v>1072026.9099999999</v>
      </c>
      <c r="N434">
        <v>1E-4</v>
      </c>
    </row>
    <row r="435" spans="1:14" x14ac:dyDescent="0.35">
      <c r="A435" s="1">
        <v>45657</v>
      </c>
      <c r="B435" t="s">
        <v>14</v>
      </c>
      <c r="C435" t="s">
        <v>15</v>
      </c>
      <c r="D435" t="s">
        <v>81</v>
      </c>
      <c r="E435">
        <v>1</v>
      </c>
      <c r="F435" t="s">
        <v>624</v>
      </c>
      <c r="H435" t="s">
        <v>625</v>
      </c>
      <c r="I435" t="str">
        <f>IF(ISBLANK(H435),"",INDEX(Sheet1!$F$2:$F$936,MATCH(H435,Sheet1!$C$2:$C$936,0)))</f>
        <v>CN</v>
      </c>
      <c r="J435">
        <v>102081</v>
      </c>
      <c r="M435">
        <v>651601.49250000005</v>
      </c>
      <c r="N435">
        <v>1E-4</v>
      </c>
    </row>
    <row r="436" spans="1:14" x14ac:dyDescent="0.35">
      <c r="A436" s="1">
        <v>45657</v>
      </c>
      <c r="B436" t="s">
        <v>14</v>
      </c>
      <c r="C436" t="s">
        <v>15</v>
      </c>
      <c r="D436" t="s">
        <v>81</v>
      </c>
      <c r="E436">
        <v>1</v>
      </c>
      <c r="F436" t="s">
        <v>626</v>
      </c>
      <c r="H436" t="s">
        <v>627</v>
      </c>
      <c r="I436" t="str">
        <f>IF(ISBLANK(H436),"",INDEX(Sheet1!$F$2:$F$936,MATCH(H436,Sheet1!$C$2:$C$936,0)))</f>
        <v>South Korea</v>
      </c>
      <c r="J436">
        <v>1867</v>
      </c>
      <c r="M436">
        <v>78638.337199999994</v>
      </c>
      <c r="N436">
        <v>0</v>
      </c>
    </row>
    <row r="437" spans="1:14" x14ac:dyDescent="0.35">
      <c r="A437" s="1">
        <v>45657</v>
      </c>
      <c r="B437" t="s">
        <v>14</v>
      </c>
      <c r="C437" t="s">
        <v>15</v>
      </c>
      <c r="D437" t="s">
        <v>81</v>
      </c>
      <c r="E437">
        <v>1</v>
      </c>
      <c r="F437" t="s">
        <v>628</v>
      </c>
      <c r="H437">
        <v>6243252</v>
      </c>
      <c r="I437" t="str">
        <f>IF(ISBLANK(H437),"",INDEX(Sheet1!$F$2:$F$936,MATCH(H437,Sheet1!$C$2:$C$936,0)))</f>
        <v>AUD</v>
      </c>
      <c r="J437">
        <v>9167</v>
      </c>
      <c r="M437">
        <v>49045.822200000002</v>
      </c>
      <c r="N437">
        <v>0</v>
      </c>
    </row>
    <row r="438" spans="1:14" x14ac:dyDescent="0.35">
      <c r="A438" s="1">
        <v>45657</v>
      </c>
      <c r="B438" t="s">
        <v>14</v>
      </c>
      <c r="C438" t="s">
        <v>15</v>
      </c>
      <c r="D438" t="s">
        <v>81</v>
      </c>
      <c r="E438">
        <v>1</v>
      </c>
      <c r="F438" t="s">
        <v>629</v>
      </c>
      <c r="H438" t="s">
        <v>630</v>
      </c>
      <c r="I438" t="str">
        <f>IF(ISBLANK(H438),"",INDEX(Sheet1!$F$2:$F$936,MATCH(H438,Sheet1!$C$2:$C$936,0)))</f>
        <v>CN</v>
      </c>
      <c r="J438">
        <v>60664</v>
      </c>
      <c r="M438">
        <v>217707.25349999999</v>
      </c>
      <c r="N438">
        <v>0</v>
      </c>
    </row>
    <row r="439" spans="1:14" x14ac:dyDescent="0.35">
      <c r="A439" s="1">
        <v>45657</v>
      </c>
      <c r="B439" t="s">
        <v>14</v>
      </c>
      <c r="C439" t="s">
        <v>15</v>
      </c>
      <c r="D439" t="s">
        <v>81</v>
      </c>
      <c r="E439">
        <v>1</v>
      </c>
      <c r="F439" t="s">
        <v>631</v>
      </c>
      <c r="H439">
        <v>6772671</v>
      </c>
      <c r="I439" t="str">
        <f>IF(ISBLANK(H439),"",INDEX(Sheet1!$F$2:$F$936,MATCH(H439,Sheet1!$C$2:$C$936,0)))</f>
        <v>South Korea</v>
      </c>
      <c r="J439">
        <v>981</v>
      </c>
      <c r="M439">
        <v>351240.04700000002</v>
      </c>
      <c r="N439">
        <v>0</v>
      </c>
    </row>
    <row r="440" spans="1:14" x14ac:dyDescent="0.35">
      <c r="A440" s="1">
        <v>45657</v>
      </c>
      <c r="B440" t="s">
        <v>14</v>
      </c>
      <c r="C440" t="s">
        <v>15</v>
      </c>
      <c r="D440" t="s">
        <v>81</v>
      </c>
      <c r="E440">
        <v>1</v>
      </c>
      <c r="F440" t="s">
        <v>632</v>
      </c>
      <c r="H440">
        <v>2476193</v>
      </c>
      <c r="I440" t="str">
        <f>IF(ISBLANK(H440),"",INDEX(Sheet1!$F$2:$F$936,MATCH(H440,Sheet1!$C$2:$C$936,0)))</f>
        <v>United States</v>
      </c>
      <c r="J440">
        <v>19350</v>
      </c>
      <c r="M440">
        <v>3419689.2940000002</v>
      </c>
      <c r="N440">
        <v>5.0000000000000001E-4</v>
      </c>
    </row>
    <row r="441" spans="1:14" x14ac:dyDescent="0.35">
      <c r="A441" s="1">
        <v>45657</v>
      </c>
      <c r="B441" t="s">
        <v>14</v>
      </c>
      <c r="C441" t="s">
        <v>15</v>
      </c>
      <c r="D441" t="s">
        <v>81</v>
      </c>
      <c r="E441">
        <v>1</v>
      </c>
      <c r="F441" t="s">
        <v>633</v>
      </c>
      <c r="H441" t="s">
        <v>634</v>
      </c>
      <c r="I441" t="str">
        <f>IF(ISBLANK(H441),"",INDEX(Sheet1!$F$2:$F$936,MATCH(H441,Sheet1!$C$2:$C$936,0)))</f>
        <v>United States</v>
      </c>
      <c r="J441">
        <v>33316</v>
      </c>
      <c r="M441">
        <v>16159676.050000001</v>
      </c>
      <c r="N441">
        <v>2.2000000000000001E-3</v>
      </c>
    </row>
    <row r="442" spans="1:14" x14ac:dyDescent="0.35">
      <c r="A442" s="1">
        <v>45657</v>
      </c>
      <c r="B442" t="s">
        <v>14</v>
      </c>
      <c r="C442" t="s">
        <v>15</v>
      </c>
      <c r="D442" t="s">
        <v>81</v>
      </c>
      <c r="E442">
        <v>1</v>
      </c>
      <c r="F442" t="s">
        <v>635</v>
      </c>
      <c r="H442">
        <v>6294896</v>
      </c>
      <c r="I442" t="str">
        <f>IF(ISBLANK(H442),"",INDEX(Sheet1!$F$2:$F$936,MATCH(H442,Sheet1!$C$2:$C$936,0)))</f>
        <v>INR</v>
      </c>
      <c r="J442">
        <v>49598</v>
      </c>
      <c r="M442">
        <v>1794265.7309999999</v>
      </c>
      <c r="N442">
        <v>2.0000000000000001E-4</v>
      </c>
    </row>
    <row r="443" spans="1:14" x14ac:dyDescent="0.35">
      <c r="A443" s="1">
        <v>45657</v>
      </c>
      <c r="B443" t="s">
        <v>14</v>
      </c>
      <c r="C443" t="s">
        <v>15</v>
      </c>
      <c r="D443" t="s">
        <v>81</v>
      </c>
      <c r="E443">
        <v>1</v>
      </c>
      <c r="F443" t="s">
        <v>636</v>
      </c>
      <c r="H443" t="s">
        <v>637</v>
      </c>
      <c r="I443" t="str">
        <f>IF(ISBLANK(H443),"",INDEX(Sheet1!$F$2:$F$936,MATCH(H443,Sheet1!$C$2:$C$936,0)))</f>
        <v>KRW</v>
      </c>
      <c r="J443">
        <v>10462</v>
      </c>
      <c r="M443">
        <v>909033.08219999995</v>
      </c>
      <c r="N443">
        <v>1E-4</v>
      </c>
    </row>
    <row r="444" spans="1:14" x14ac:dyDescent="0.35">
      <c r="A444" s="1">
        <v>45657</v>
      </c>
      <c r="B444" t="s">
        <v>14</v>
      </c>
      <c r="C444" t="s">
        <v>15</v>
      </c>
      <c r="D444" t="s">
        <v>81</v>
      </c>
      <c r="E444">
        <v>1</v>
      </c>
      <c r="F444" t="s">
        <v>638</v>
      </c>
      <c r="H444" t="s">
        <v>639</v>
      </c>
      <c r="I444" t="str">
        <f>IF(ISBLANK(H444),"",INDEX(Sheet1!$F$2:$F$936,MATCH(H444,Sheet1!$C$2:$C$936,0)))</f>
        <v>INR</v>
      </c>
      <c r="J444">
        <v>4090</v>
      </c>
      <c r="M444">
        <v>325700.87680000003</v>
      </c>
      <c r="N444">
        <v>0</v>
      </c>
    </row>
    <row r="445" spans="1:14" x14ac:dyDescent="0.35">
      <c r="A445" s="1">
        <v>45657</v>
      </c>
      <c r="B445" t="s">
        <v>14</v>
      </c>
      <c r="C445" t="s">
        <v>15</v>
      </c>
      <c r="D445" t="s">
        <v>81</v>
      </c>
      <c r="E445">
        <v>1</v>
      </c>
      <c r="F445" t="s">
        <v>640</v>
      </c>
      <c r="H445" t="s">
        <v>641</v>
      </c>
      <c r="I445" t="str">
        <f>IF(ISBLANK(H445),"",INDEX(Sheet1!$F$2:$F$936,MATCH(H445,Sheet1!$C$2:$C$936,0)))</f>
        <v>INR</v>
      </c>
      <c r="J445">
        <v>189750</v>
      </c>
      <c r="M445">
        <v>6344077.5800000001</v>
      </c>
      <c r="N445">
        <v>8.9999999999999998E-4</v>
      </c>
    </row>
    <row r="446" spans="1:14" x14ac:dyDescent="0.35">
      <c r="A446" s="1">
        <v>45657</v>
      </c>
      <c r="B446" t="s">
        <v>14</v>
      </c>
      <c r="C446" t="s">
        <v>15</v>
      </c>
      <c r="D446" t="s">
        <v>81</v>
      </c>
      <c r="E446">
        <v>1</v>
      </c>
      <c r="F446" t="s">
        <v>642</v>
      </c>
      <c r="H446" t="s">
        <v>643</v>
      </c>
      <c r="I446" t="str">
        <f>IF(ISBLANK(H446),"",INDEX(Sheet1!$F$2:$F$936,MATCH(H446,Sheet1!$C$2:$C$936,0)))</f>
        <v>INR</v>
      </c>
      <c r="J446">
        <v>135208</v>
      </c>
      <c r="M446">
        <v>1573790.6629999999</v>
      </c>
      <c r="N446">
        <v>2.0000000000000001E-4</v>
      </c>
    </row>
    <row r="447" spans="1:14" x14ac:dyDescent="0.35">
      <c r="A447" s="1">
        <v>45657</v>
      </c>
      <c r="B447" t="s">
        <v>14</v>
      </c>
      <c r="C447" t="s">
        <v>15</v>
      </c>
      <c r="D447" t="s">
        <v>81</v>
      </c>
      <c r="E447">
        <v>1</v>
      </c>
      <c r="F447" t="s">
        <v>644</v>
      </c>
      <c r="H447" t="s">
        <v>645</v>
      </c>
      <c r="I447" t="str">
        <f>IF(ISBLANK(H447),"",INDEX(Sheet1!$F$2:$F$936,MATCH(H447,Sheet1!$C$2:$C$936,0)))</f>
        <v>AUD</v>
      </c>
      <c r="J447">
        <v>1346016</v>
      </c>
      <c r="M447">
        <v>1844042.4439999999</v>
      </c>
      <c r="N447">
        <v>2.9999999999999997E-4</v>
      </c>
    </row>
    <row r="448" spans="1:14" x14ac:dyDescent="0.35">
      <c r="A448" s="1">
        <v>45657</v>
      </c>
      <c r="B448" t="s">
        <v>14</v>
      </c>
      <c r="C448" t="s">
        <v>15</v>
      </c>
      <c r="D448" t="s">
        <v>81</v>
      </c>
      <c r="E448">
        <v>1</v>
      </c>
      <c r="F448" t="s">
        <v>646</v>
      </c>
      <c r="H448">
        <v>7792559</v>
      </c>
      <c r="I448" t="str">
        <f>IF(ISBLANK(H448),"",INDEX(Sheet1!$F$2:$F$936,MATCH(H448,Sheet1!$C$2:$C$936,0)))</f>
        <v>Netherlands</v>
      </c>
      <c r="J448">
        <v>26687</v>
      </c>
      <c r="M448">
        <v>3056427.6490000002</v>
      </c>
      <c r="N448">
        <v>4.0000000000000002E-4</v>
      </c>
    </row>
    <row r="449" spans="1:14" x14ac:dyDescent="0.35">
      <c r="A449" s="1">
        <v>45657</v>
      </c>
      <c r="B449" t="s">
        <v>14</v>
      </c>
      <c r="C449" t="s">
        <v>15</v>
      </c>
      <c r="D449" t="s">
        <v>81</v>
      </c>
      <c r="E449">
        <v>1</v>
      </c>
      <c r="F449" t="s">
        <v>647</v>
      </c>
      <c r="H449" t="s">
        <v>648</v>
      </c>
      <c r="I449" t="str">
        <f>IF(ISBLANK(H449),"",INDEX(Sheet1!$F$2:$F$936,MATCH(H449,Sheet1!$C$2:$C$936,0)))</f>
        <v>AUD</v>
      </c>
      <c r="J449">
        <v>746391</v>
      </c>
      <c r="M449">
        <v>3336365.7859999998</v>
      </c>
      <c r="N449">
        <v>5.0000000000000001E-4</v>
      </c>
    </row>
    <row r="450" spans="1:14" x14ac:dyDescent="0.35">
      <c r="A450" s="1">
        <v>45657</v>
      </c>
      <c r="B450" t="s">
        <v>14</v>
      </c>
      <c r="C450" t="s">
        <v>15</v>
      </c>
      <c r="D450" t="s">
        <v>81</v>
      </c>
      <c r="E450">
        <v>1</v>
      </c>
      <c r="F450" t="s">
        <v>649</v>
      </c>
      <c r="H450">
        <v>5076705</v>
      </c>
      <c r="I450" t="str">
        <f>IF(ISBLANK(H450),"",INDEX(Sheet1!$F$2:$F$936,MATCH(H450,Sheet1!$C$2:$C$936,0)))</f>
        <v>Germany</v>
      </c>
      <c r="J450">
        <v>4199</v>
      </c>
      <c r="M450">
        <v>592103.64020000002</v>
      </c>
      <c r="N450">
        <v>1E-4</v>
      </c>
    </row>
    <row r="451" spans="1:14" x14ac:dyDescent="0.35">
      <c r="A451" s="1">
        <v>45657</v>
      </c>
      <c r="B451" t="s">
        <v>14</v>
      </c>
      <c r="C451" t="s">
        <v>15</v>
      </c>
      <c r="D451" t="s">
        <v>81</v>
      </c>
      <c r="E451">
        <v>1</v>
      </c>
      <c r="F451" t="s">
        <v>650</v>
      </c>
      <c r="H451">
        <v>5253973</v>
      </c>
      <c r="I451" t="str">
        <f>IF(ISBLANK(H451),"",INDEX(Sheet1!$F$2:$F$936,MATCH(H451,Sheet1!$C$2:$C$936,0)))</f>
        <v>France</v>
      </c>
      <c r="J451">
        <v>595</v>
      </c>
      <c r="M451">
        <v>2309912.4169999999</v>
      </c>
      <c r="N451">
        <v>2.9999999999999997E-4</v>
      </c>
    </row>
    <row r="452" spans="1:14" x14ac:dyDescent="0.35">
      <c r="A452" s="1">
        <v>45657</v>
      </c>
      <c r="B452" t="s">
        <v>14</v>
      </c>
      <c r="C452" t="s">
        <v>15</v>
      </c>
      <c r="D452" t="s">
        <v>81</v>
      </c>
      <c r="E452">
        <v>1</v>
      </c>
      <c r="F452" t="s">
        <v>651</v>
      </c>
      <c r="H452">
        <v>6327327</v>
      </c>
      <c r="I452" t="str">
        <f>IF(ISBLANK(H452),"",INDEX(Sheet1!$F$2:$F$936,MATCH(H452,Sheet1!$C$2:$C$936,0)))</f>
        <v>INR</v>
      </c>
      <c r="J452">
        <v>14671</v>
      </c>
      <c r="M452">
        <v>1151126.665</v>
      </c>
      <c r="N452">
        <v>2.0000000000000001E-4</v>
      </c>
    </row>
    <row r="453" spans="1:14" x14ac:dyDescent="0.35">
      <c r="A453" s="1">
        <v>45657</v>
      </c>
      <c r="B453" t="s">
        <v>14</v>
      </c>
      <c r="C453" t="s">
        <v>15</v>
      </c>
      <c r="D453" t="s">
        <v>81</v>
      </c>
      <c r="E453">
        <v>1</v>
      </c>
      <c r="F453" t="s">
        <v>652</v>
      </c>
      <c r="H453" t="s">
        <v>653</v>
      </c>
      <c r="I453" t="str">
        <f>IF(ISBLANK(H453),"",INDEX(Sheet1!$F$2:$F$936,MATCH(H453,Sheet1!$C$2:$C$936,0)))</f>
        <v>United States</v>
      </c>
      <c r="J453">
        <v>99578</v>
      </c>
      <c r="M453">
        <v>3433717.608</v>
      </c>
      <c r="N453">
        <v>5.0000000000000001E-4</v>
      </c>
    </row>
    <row r="454" spans="1:14" x14ac:dyDescent="0.35">
      <c r="A454" s="1">
        <v>45657</v>
      </c>
      <c r="B454" t="s">
        <v>14</v>
      </c>
      <c r="C454" t="s">
        <v>15</v>
      </c>
      <c r="D454" t="s">
        <v>81</v>
      </c>
      <c r="E454">
        <v>1</v>
      </c>
      <c r="F454" t="s">
        <v>654</v>
      </c>
      <c r="H454">
        <v>6416322</v>
      </c>
      <c r="I454" t="str">
        <f>IF(ISBLANK(H454),"",INDEX(Sheet1!$F$2:$F$936,MATCH(H454,Sheet1!$C$2:$C$936,0)))</f>
        <v>Japan</v>
      </c>
      <c r="J454">
        <v>700</v>
      </c>
      <c r="M454">
        <v>247890.38800000001</v>
      </c>
      <c r="N454">
        <v>0</v>
      </c>
    </row>
    <row r="455" spans="1:14" x14ac:dyDescent="0.35">
      <c r="A455" s="1">
        <v>45657</v>
      </c>
      <c r="B455" t="s">
        <v>14</v>
      </c>
      <c r="C455" t="s">
        <v>15</v>
      </c>
      <c r="D455" t="s">
        <v>81</v>
      </c>
      <c r="E455">
        <v>1</v>
      </c>
      <c r="F455" t="s">
        <v>655</v>
      </c>
      <c r="H455" t="s">
        <v>656</v>
      </c>
      <c r="I455" t="str">
        <f>IF(ISBLANK(H455),"",INDEX(Sheet1!$F$2:$F$936,MATCH(H455,Sheet1!$C$2:$C$936,0)))</f>
        <v>INR</v>
      </c>
      <c r="J455">
        <v>11057</v>
      </c>
      <c r="M455">
        <v>871890.08810000005</v>
      </c>
      <c r="N455">
        <v>1E-4</v>
      </c>
    </row>
    <row r="456" spans="1:14" x14ac:dyDescent="0.35">
      <c r="A456" s="1">
        <v>45657</v>
      </c>
      <c r="B456" t="s">
        <v>14</v>
      </c>
      <c r="C456" t="s">
        <v>15</v>
      </c>
      <c r="D456" t="s">
        <v>81</v>
      </c>
      <c r="E456">
        <v>1</v>
      </c>
      <c r="F456" t="s">
        <v>657</v>
      </c>
      <c r="H456">
        <v>6100476</v>
      </c>
      <c r="I456" t="str">
        <f>IF(ISBLANK(H456),"",INDEX(Sheet1!$F$2:$F$936,MATCH(H456,Sheet1!$C$2:$C$936,0)))</f>
        <v>INR</v>
      </c>
      <c r="J456">
        <v>177572</v>
      </c>
      <c r="M456">
        <v>1367610.6429999999</v>
      </c>
      <c r="N456">
        <v>2.0000000000000001E-4</v>
      </c>
    </row>
    <row r="457" spans="1:14" x14ac:dyDescent="0.35">
      <c r="A457" s="1">
        <v>45657</v>
      </c>
      <c r="B457" t="s">
        <v>14</v>
      </c>
      <c r="C457" t="s">
        <v>15</v>
      </c>
      <c r="D457" t="s">
        <v>81</v>
      </c>
      <c r="E457">
        <v>1</v>
      </c>
      <c r="F457" t="s">
        <v>658</v>
      </c>
      <c r="H457">
        <v>6429104</v>
      </c>
      <c r="I457" t="str">
        <f>IF(ISBLANK(H457),"",INDEX(Sheet1!$F$2:$F$936,MATCH(H457,Sheet1!$C$2:$C$936,0)))</f>
        <v>Japan</v>
      </c>
      <c r="J457">
        <v>134453</v>
      </c>
      <c r="M457">
        <v>5435862.4009999996</v>
      </c>
      <c r="N457">
        <v>8.0000000000000004E-4</v>
      </c>
    </row>
    <row r="458" spans="1:14" x14ac:dyDescent="0.35">
      <c r="A458" s="1">
        <v>45657</v>
      </c>
      <c r="B458" t="s">
        <v>14</v>
      </c>
      <c r="C458" t="s">
        <v>15</v>
      </c>
      <c r="D458" t="s">
        <v>81</v>
      </c>
      <c r="E458">
        <v>1</v>
      </c>
      <c r="F458" t="s">
        <v>659</v>
      </c>
      <c r="H458">
        <v>2434209</v>
      </c>
      <c r="I458" t="str">
        <f>IF(ISBLANK(H458),"",INDEX(Sheet1!$F$2:$F$936,MATCH(H458,Sheet1!$C$2:$C$936,0)))</f>
        <v>United States</v>
      </c>
      <c r="J458">
        <v>12039</v>
      </c>
      <c r="M458">
        <v>7567942.6239999998</v>
      </c>
      <c r="N458">
        <v>1E-3</v>
      </c>
    </row>
    <row r="459" spans="1:14" x14ac:dyDescent="0.35">
      <c r="A459" s="1">
        <v>45657</v>
      </c>
      <c r="B459" t="s">
        <v>14</v>
      </c>
      <c r="C459" t="s">
        <v>15</v>
      </c>
      <c r="D459" t="s">
        <v>81</v>
      </c>
      <c r="E459">
        <v>1</v>
      </c>
      <c r="F459" t="s">
        <v>660</v>
      </c>
      <c r="H459">
        <v>6438564</v>
      </c>
      <c r="I459" t="str">
        <f>IF(ISBLANK(H459),"",INDEX(Sheet1!$F$2:$F$936,MATCH(H459,Sheet1!$C$2:$C$936,0)))</f>
        <v>Taiwan</v>
      </c>
      <c r="J459">
        <v>286406</v>
      </c>
      <c r="M459">
        <v>2596186.8139999998</v>
      </c>
      <c r="N459">
        <v>4.0000000000000002E-4</v>
      </c>
    </row>
    <row r="460" spans="1:14" x14ac:dyDescent="0.35">
      <c r="A460" s="1">
        <v>45657</v>
      </c>
      <c r="B460" t="s">
        <v>14</v>
      </c>
      <c r="C460" t="s">
        <v>15</v>
      </c>
      <c r="D460" t="s">
        <v>81</v>
      </c>
      <c r="E460">
        <v>1</v>
      </c>
      <c r="F460" t="s">
        <v>661</v>
      </c>
      <c r="H460">
        <v>6435145</v>
      </c>
      <c r="I460" t="str">
        <f>IF(ISBLANK(H460),"",INDEX(Sheet1!$F$2:$F$936,MATCH(H460,Sheet1!$C$2:$C$936,0)))</f>
        <v>Japan</v>
      </c>
      <c r="J460">
        <v>123137</v>
      </c>
      <c r="M460">
        <v>1941228.9620000001</v>
      </c>
      <c r="N460">
        <v>2.9999999999999997E-4</v>
      </c>
    </row>
    <row r="461" spans="1:14" x14ac:dyDescent="0.35">
      <c r="A461" s="1">
        <v>45657</v>
      </c>
      <c r="B461" t="s">
        <v>14</v>
      </c>
      <c r="C461" t="s">
        <v>15</v>
      </c>
      <c r="D461" t="s">
        <v>81</v>
      </c>
      <c r="E461">
        <v>1</v>
      </c>
      <c r="F461" t="s">
        <v>662</v>
      </c>
      <c r="H461">
        <v>2020459</v>
      </c>
      <c r="I461" t="str">
        <f>IF(ISBLANK(H461),"",INDEX(Sheet1!$F$2:$F$936,MATCH(H461,Sheet1!$C$2:$C$936,0)))</f>
        <v>United States</v>
      </c>
      <c r="J461">
        <v>6619</v>
      </c>
      <c r="M461">
        <v>2415024.3969999999</v>
      </c>
      <c r="N461">
        <v>2.9999999999999997E-4</v>
      </c>
    </row>
    <row r="462" spans="1:14" x14ac:dyDescent="0.35">
      <c r="A462" s="1">
        <v>45657</v>
      </c>
      <c r="B462" t="s">
        <v>14</v>
      </c>
      <c r="C462" t="s">
        <v>15</v>
      </c>
      <c r="D462" t="s">
        <v>81</v>
      </c>
      <c r="E462">
        <v>1</v>
      </c>
      <c r="F462" t="s">
        <v>663</v>
      </c>
      <c r="H462" t="s">
        <v>664</v>
      </c>
      <c r="I462" t="str">
        <f>IF(ISBLANK(H462),"",INDEX(Sheet1!$F$2:$F$936,MATCH(H462,Sheet1!$C$2:$C$936,0)))</f>
        <v>China</v>
      </c>
      <c r="J462">
        <v>694918</v>
      </c>
      <c r="M462">
        <v>520155.93540000002</v>
      </c>
      <c r="N462">
        <v>1E-4</v>
      </c>
    </row>
    <row r="463" spans="1:14" x14ac:dyDescent="0.35">
      <c r="A463" s="1">
        <v>45657</v>
      </c>
      <c r="B463" t="s">
        <v>14</v>
      </c>
      <c r="C463" t="s">
        <v>15</v>
      </c>
      <c r="D463" t="s">
        <v>81</v>
      </c>
      <c r="E463">
        <v>1</v>
      </c>
      <c r="F463" t="s">
        <v>665</v>
      </c>
      <c r="H463">
        <v>540528</v>
      </c>
      <c r="I463" t="str">
        <f>IF(ISBLANK(H463),"",INDEX(Sheet1!$F$2:$F$936,MATCH(H463,Sheet1!$C$2:$C$936,0)))</f>
        <v>GBP</v>
      </c>
      <c r="J463">
        <v>319468</v>
      </c>
      <c r="M463">
        <v>5074696.1900000004</v>
      </c>
      <c r="N463">
        <v>6.9999999999999891E-4</v>
      </c>
    </row>
    <row r="464" spans="1:14" x14ac:dyDescent="0.35">
      <c r="A464" s="1">
        <v>45657</v>
      </c>
      <c r="B464" t="s">
        <v>14</v>
      </c>
      <c r="C464" t="s">
        <v>15</v>
      </c>
      <c r="D464" t="s">
        <v>81</v>
      </c>
      <c r="E464">
        <v>1</v>
      </c>
      <c r="F464" t="s">
        <v>666</v>
      </c>
      <c r="H464" t="s">
        <v>667</v>
      </c>
      <c r="I464" t="str">
        <f>IF(ISBLANK(H464),"",INDEX(Sheet1!$F$2:$F$936,MATCH(H464,Sheet1!$C$2:$C$936,0)))</f>
        <v>Australia</v>
      </c>
      <c r="J464">
        <v>51117</v>
      </c>
      <c r="M464">
        <v>3557767.4410000001</v>
      </c>
      <c r="N464">
        <v>5.0000000000000001E-4</v>
      </c>
    </row>
    <row r="465" spans="1:14" x14ac:dyDescent="0.35">
      <c r="A465" s="1">
        <v>45657</v>
      </c>
      <c r="B465" t="s">
        <v>14</v>
      </c>
      <c r="C465" t="s">
        <v>15</v>
      </c>
      <c r="D465" t="s">
        <v>81</v>
      </c>
      <c r="E465">
        <v>1</v>
      </c>
      <c r="F465" t="s">
        <v>668</v>
      </c>
      <c r="H465">
        <v>2445063</v>
      </c>
      <c r="I465" t="str">
        <f>IF(ISBLANK(H465),"",INDEX(Sheet1!$F$2:$F$936,MATCH(H465,Sheet1!$C$2:$C$936,0)))</f>
        <v>United States</v>
      </c>
      <c r="J465">
        <v>3321</v>
      </c>
      <c r="M465">
        <v>1360141.5460000001</v>
      </c>
      <c r="N465">
        <v>2.0000000000000001E-4</v>
      </c>
    </row>
    <row r="466" spans="1:14" x14ac:dyDescent="0.35">
      <c r="A466" s="1">
        <v>45657</v>
      </c>
      <c r="B466" t="s">
        <v>14</v>
      </c>
      <c r="C466" t="s">
        <v>15</v>
      </c>
      <c r="D466" t="s">
        <v>81</v>
      </c>
      <c r="E466">
        <v>1</v>
      </c>
      <c r="F466" t="s">
        <v>669</v>
      </c>
      <c r="H466" t="s">
        <v>670</v>
      </c>
      <c r="I466" t="str">
        <f>IF(ISBLANK(H466),"",INDEX(Sheet1!$F$2:$F$936,MATCH(H466,Sheet1!$C$2:$C$936,0)))</f>
        <v>AUD</v>
      </c>
      <c r="J466">
        <v>955672</v>
      </c>
      <c r="M466">
        <v>621186.88710000005</v>
      </c>
      <c r="N466">
        <v>1E-4</v>
      </c>
    </row>
    <row r="467" spans="1:14" x14ac:dyDescent="0.35">
      <c r="A467" s="1">
        <v>45657</v>
      </c>
      <c r="B467" t="s">
        <v>14</v>
      </c>
      <c r="C467" t="s">
        <v>15</v>
      </c>
      <c r="D467" t="s">
        <v>81</v>
      </c>
      <c r="E467">
        <v>1</v>
      </c>
      <c r="F467" t="s">
        <v>671</v>
      </c>
      <c r="H467">
        <v>2445966</v>
      </c>
      <c r="I467" t="str">
        <f>IF(ISBLANK(H467),"",INDEX(Sheet1!$F$2:$F$936,MATCH(H467,Sheet1!$C$2:$C$936,0)))</f>
        <v>United States</v>
      </c>
      <c r="J467">
        <v>76509</v>
      </c>
      <c r="M467">
        <v>2011735.74</v>
      </c>
      <c r="N467">
        <v>2.9999999999999997E-4</v>
      </c>
    </row>
    <row r="468" spans="1:14" x14ac:dyDescent="0.35">
      <c r="A468" s="1">
        <v>45657</v>
      </c>
      <c r="B468" t="s">
        <v>14</v>
      </c>
      <c r="C468" t="s">
        <v>15</v>
      </c>
      <c r="D468" t="s">
        <v>81</v>
      </c>
      <c r="E468">
        <v>1</v>
      </c>
      <c r="F468" t="s">
        <v>672</v>
      </c>
      <c r="H468" t="s">
        <v>673</v>
      </c>
      <c r="I468" t="str">
        <f>IF(ISBLANK(H468),"",INDEX(Sheet1!$F$2:$F$936,MATCH(H468,Sheet1!$C$2:$C$936,0)))</f>
        <v>Canada</v>
      </c>
      <c r="J468">
        <v>26156</v>
      </c>
      <c r="M468">
        <v>1297121.247</v>
      </c>
      <c r="N468">
        <v>2.0000000000000001E-4</v>
      </c>
    </row>
    <row r="469" spans="1:14" x14ac:dyDescent="0.35">
      <c r="A469" s="1">
        <v>45657</v>
      </c>
      <c r="B469" t="s">
        <v>14</v>
      </c>
      <c r="C469" t="s">
        <v>15</v>
      </c>
      <c r="D469" t="s">
        <v>81</v>
      </c>
      <c r="E469">
        <v>1</v>
      </c>
      <c r="F469" t="s">
        <v>674</v>
      </c>
      <c r="H469">
        <v>6449544</v>
      </c>
      <c r="I469" t="str">
        <f>IF(ISBLANK(H469),"",INDEX(Sheet1!$F$2:$F$936,MATCH(H469,Sheet1!$C$2:$C$936,0)))</f>
        <v>South Korea</v>
      </c>
      <c r="J469">
        <v>5597</v>
      </c>
      <c r="M469">
        <v>1452209.422</v>
      </c>
      <c r="N469">
        <v>2.0000000000000001E-4</v>
      </c>
    </row>
    <row r="470" spans="1:14" x14ac:dyDescent="0.35">
      <c r="A470" s="1">
        <v>45657</v>
      </c>
      <c r="B470" t="s">
        <v>14</v>
      </c>
      <c r="C470" t="s">
        <v>15</v>
      </c>
      <c r="D470" t="s">
        <v>81</v>
      </c>
      <c r="E470">
        <v>1</v>
      </c>
      <c r="F470" t="s">
        <v>675</v>
      </c>
      <c r="H470" t="s">
        <v>676</v>
      </c>
      <c r="I470" t="str">
        <f>IF(ISBLANK(H470),"",INDEX(Sheet1!$F$2:$F$936,MATCH(H470,Sheet1!$C$2:$C$936,0)))</f>
        <v>Spain</v>
      </c>
      <c r="J470">
        <v>221521</v>
      </c>
      <c r="M470">
        <v>4927432.9890000001</v>
      </c>
      <c r="N470">
        <v>6.9999999999999891E-4</v>
      </c>
    </row>
    <row r="471" spans="1:14" x14ac:dyDescent="0.35">
      <c r="A471" s="1">
        <v>45657</v>
      </c>
      <c r="B471" t="s">
        <v>14</v>
      </c>
      <c r="C471" t="s">
        <v>15</v>
      </c>
      <c r="D471" t="s">
        <v>81</v>
      </c>
      <c r="E471">
        <v>1</v>
      </c>
      <c r="F471" t="s">
        <v>677</v>
      </c>
      <c r="H471" t="s">
        <v>678</v>
      </c>
      <c r="I471" t="str">
        <f>IF(ISBLANK(H471),"",INDEX(Sheet1!$F$2:$F$936,MATCH(H471,Sheet1!$C$2:$C$936,0)))</f>
        <v>India</v>
      </c>
      <c r="J471">
        <v>60944</v>
      </c>
      <c r="M471">
        <v>1475085.97</v>
      </c>
      <c r="N471">
        <v>2.0000000000000001E-4</v>
      </c>
    </row>
    <row r="472" spans="1:14" x14ac:dyDescent="0.35">
      <c r="A472" s="1">
        <v>45657</v>
      </c>
      <c r="B472" t="s">
        <v>14</v>
      </c>
      <c r="C472" t="s">
        <v>15</v>
      </c>
      <c r="D472" t="s">
        <v>81</v>
      </c>
      <c r="E472">
        <v>1</v>
      </c>
      <c r="F472" t="s">
        <v>679</v>
      </c>
      <c r="H472" t="s">
        <v>680</v>
      </c>
      <c r="I472" t="str">
        <f>IF(ISBLANK(H472),"",INDEX(Sheet1!$F$2:$F$936,MATCH(H472,Sheet1!$C$2:$C$936,0)))</f>
        <v>Japan</v>
      </c>
      <c r="J472">
        <v>270307</v>
      </c>
      <c r="M472">
        <v>2876532.6120000002</v>
      </c>
      <c r="N472">
        <v>4.0000000000000002E-4</v>
      </c>
    </row>
    <row r="473" spans="1:14" x14ac:dyDescent="0.35">
      <c r="A473" s="1">
        <v>45657</v>
      </c>
      <c r="B473" t="s">
        <v>14</v>
      </c>
      <c r="C473" t="s">
        <v>15</v>
      </c>
      <c r="D473" t="s">
        <v>81</v>
      </c>
      <c r="E473">
        <v>1</v>
      </c>
      <c r="F473" t="s">
        <v>681</v>
      </c>
      <c r="H473" t="s">
        <v>682</v>
      </c>
      <c r="I473" t="str">
        <f>IF(ISBLANK(H473),"",INDEX(Sheet1!$F$2:$F$936,MATCH(H473,Sheet1!$C$2:$C$936,0)))</f>
        <v>Australia</v>
      </c>
      <c r="J473">
        <v>1204306</v>
      </c>
      <c r="M473">
        <v>15162214.699999999</v>
      </c>
      <c r="N473">
        <v>2.0999999999999999E-3</v>
      </c>
    </row>
    <row r="474" spans="1:14" x14ac:dyDescent="0.35">
      <c r="A474" s="1">
        <v>45657</v>
      </c>
      <c r="B474" t="s">
        <v>14</v>
      </c>
      <c r="C474" t="s">
        <v>15</v>
      </c>
      <c r="D474" t="s">
        <v>81</v>
      </c>
      <c r="E474">
        <v>1</v>
      </c>
      <c r="F474" t="s">
        <v>683</v>
      </c>
      <c r="H474">
        <v>2469375</v>
      </c>
      <c r="I474" t="str">
        <f>IF(ISBLANK(H474),"",INDEX(Sheet1!$F$2:$F$936,MATCH(H474,Sheet1!$C$2:$C$936,0)))</f>
        <v>Canada</v>
      </c>
      <c r="J474">
        <v>55118</v>
      </c>
      <c r="M474">
        <v>2833688.7030000002</v>
      </c>
      <c r="N474">
        <v>4.0000000000000002E-4</v>
      </c>
    </row>
    <row r="475" spans="1:14" x14ac:dyDescent="0.35">
      <c r="A475" s="1">
        <v>45657</v>
      </c>
      <c r="B475" t="s">
        <v>14</v>
      </c>
      <c r="C475" t="s">
        <v>15</v>
      </c>
      <c r="D475" t="s">
        <v>81</v>
      </c>
      <c r="E475">
        <v>1</v>
      </c>
      <c r="F475" t="s">
        <v>684</v>
      </c>
      <c r="H475">
        <v>6439567</v>
      </c>
      <c r="I475" t="str">
        <f>IF(ISBLANK(H475),"",INDEX(Sheet1!$F$2:$F$936,MATCH(H475,Sheet1!$C$2:$C$936,0)))</f>
        <v>Australia</v>
      </c>
      <c r="J475">
        <v>630570</v>
      </c>
      <c r="M475">
        <v>3007817.997</v>
      </c>
      <c r="N475">
        <v>4.0000000000000002E-4</v>
      </c>
    </row>
    <row r="476" spans="1:14" x14ac:dyDescent="0.35">
      <c r="A476" s="1">
        <v>45657</v>
      </c>
      <c r="B476" t="s">
        <v>14</v>
      </c>
      <c r="C476" t="s">
        <v>15</v>
      </c>
      <c r="D476" t="s">
        <v>81</v>
      </c>
      <c r="E476">
        <v>1</v>
      </c>
      <c r="F476" t="s">
        <v>685</v>
      </c>
      <c r="H476">
        <v>2613990</v>
      </c>
      <c r="I476" t="str">
        <f>IF(ISBLANK(H476),"",INDEX(Sheet1!$F$2:$F$936,MATCH(H476,Sheet1!$C$2:$C$936,0)))</f>
        <v>United States</v>
      </c>
      <c r="J476">
        <v>11897</v>
      </c>
      <c r="M476">
        <v>2567566.2620000001</v>
      </c>
      <c r="N476">
        <v>4.0000000000000002E-4</v>
      </c>
    </row>
    <row r="477" spans="1:14" x14ac:dyDescent="0.35">
      <c r="A477" s="1">
        <v>45657</v>
      </c>
      <c r="B477" t="s">
        <v>14</v>
      </c>
      <c r="C477" t="s">
        <v>15</v>
      </c>
      <c r="D477" t="s">
        <v>81</v>
      </c>
      <c r="E477">
        <v>1</v>
      </c>
      <c r="F477" t="s">
        <v>686</v>
      </c>
      <c r="H477">
        <v>6957575</v>
      </c>
      <c r="I477" t="str">
        <f>IF(ISBLANK(H477),"",INDEX(Sheet1!$F$2:$F$936,MATCH(H477,Sheet1!$C$2:$C$936,0)))</f>
        <v>Australia</v>
      </c>
      <c r="J477">
        <v>124077</v>
      </c>
      <c r="M477">
        <v>626591.07299999997</v>
      </c>
      <c r="N477">
        <v>1E-4</v>
      </c>
    </row>
    <row r="478" spans="1:14" x14ac:dyDescent="0.35">
      <c r="A478" s="1">
        <v>45657</v>
      </c>
      <c r="B478" t="s">
        <v>14</v>
      </c>
      <c r="C478" t="s">
        <v>15</v>
      </c>
      <c r="D478" t="s">
        <v>81</v>
      </c>
      <c r="E478">
        <v>1</v>
      </c>
      <c r="F478" t="s">
        <v>687</v>
      </c>
      <c r="H478">
        <v>6462154</v>
      </c>
      <c r="I478" t="str">
        <f>IF(ISBLANK(H478),"",INDEX(Sheet1!$F$2:$F$936,MATCH(H478,Sheet1!$C$2:$C$936,0)))</f>
        <v>AUD</v>
      </c>
      <c r="J478">
        <v>437507</v>
      </c>
      <c r="M478">
        <v>1015015.974</v>
      </c>
      <c r="N478">
        <v>1E-4</v>
      </c>
    </row>
    <row r="479" spans="1:14" x14ac:dyDescent="0.35">
      <c r="A479" s="1">
        <v>45657</v>
      </c>
      <c r="B479" t="s">
        <v>14</v>
      </c>
      <c r="C479" t="s">
        <v>15</v>
      </c>
      <c r="D479" t="s">
        <v>81</v>
      </c>
      <c r="E479">
        <v>1</v>
      </c>
      <c r="F479" t="s">
        <v>688</v>
      </c>
      <c r="H479">
        <v>2471950</v>
      </c>
      <c r="I479" t="str">
        <f>IF(ISBLANK(H479),"",INDEX(Sheet1!$F$2:$F$936,MATCH(H479,Sheet1!$C$2:$C$936,0)))</f>
        <v>United States</v>
      </c>
      <c r="J479">
        <v>22033</v>
      </c>
      <c r="M479">
        <v>2458323.301</v>
      </c>
      <c r="N479">
        <v>2.9999999999999997E-4</v>
      </c>
    </row>
    <row r="480" spans="1:14" x14ac:dyDescent="0.35">
      <c r="A480" s="1">
        <v>45657</v>
      </c>
      <c r="B480" t="s">
        <v>14</v>
      </c>
      <c r="C480" t="s">
        <v>15</v>
      </c>
      <c r="D480" t="s">
        <v>81</v>
      </c>
      <c r="E480">
        <v>1</v>
      </c>
      <c r="F480" t="s">
        <v>689</v>
      </c>
      <c r="H480">
        <v>6253767</v>
      </c>
      <c r="I480" t="str">
        <f>IF(ISBLANK(H480),"",INDEX(Sheet1!$F$2:$F$936,MATCH(H480,Sheet1!$C$2:$C$936,0)))</f>
        <v>India</v>
      </c>
      <c r="J480">
        <v>361498</v>
      </c>
      <c r="M480">
        <v>929731.88679999998</v>
      </c>
      <c r="N480">
        <v>1E-4</v>
      </c>
    </row>
    <row r="481" spans="1:14" x14ac:dyDescent="0.35">
      <c r="A481" s="1">
        <v>45657</v>
      </c>
      <c r="B481" t="s">
        <v>14</v>
      </c>
      <c r="C481" t="s">
        <v>15</v>
      </c>
      <c r="D481" t="s">
        <v>81</v>
      </c>
      <c r="E481">
        <v>1</v>
      </c>
      <c r="F481" t="s">
        <v>690</v>
      </c>
      <c r="H481">
        <v>6268095</v>
      </c>
      <c r="I481" t="str">
        <f>IF(ISBLANK(H481),"",INDEX(Sheet1!$F$2:$F$936,MATCH(H481,Sheet1!$C$2:$C$936,0)))</f>
        <v>AUD</v>
      </c>
      <c r="J481">
        <v>579691</v>
      </c>
      <c r="M481">
        <v>831856.4878</v>
      </c>
      <c r="N481">
        <v>1E-4</v>
      </c>
    </row>
    <row r="482" spans="1:14" x14ac:dyDescent="0.35">
      <c r="A482" s="1">
        <v>45657</v>
      </c>
      <c r="B482" t="s">
        <v>14</v>
      </c>
      <c r="C482" t="s">
        <v>15</v>
      </c>
      <c r="D482" t="s">
        <v>81</v>
      </c>
      <c r="E482">
        <v>1</v>
      </c>
      <c r="F482" t="s">
        <v>691</v>
      </c>
      <c r="H482">
        <v>6205122</v>
      </c>
      <c r="I482" t="str">
        <f>IF(ISBLANK(H482),"",INDEX(Sheet1!$F$2:$F$936,MATCH(H482,Sheet1!$C$2:$C$936,0)))</f>
        <v>INR</v>
      </c>
      <c r="J482">
        <v>80533</v>
      </c>
      <c r="M482">
        <v>2864817.2</v>
      </c>
      <c r="N482">
        <v>4.0000000000000002E-4</v>
      </c>
    </row>
    <row r="483" spans="1:14" x14ac:dyDescent="0.35">
      <c r="A483" s="1">
        <v>45657</v>
      </c>
      <c r="B483" t="s">
        <v>14</v>
      </c>
      <c r="C483" t="s">
        <v>15</v>
      </c>
      <c r="D483" t="s">
        <v>81</v>
      </c>
      <c r="E483">
        <v>1</v>
      </c>
      <c r="F483" t="s">
        <v>692</v>
      </c>
      <c r="H483" t="s">
        <v>693</v>
      </c>
      <c r="I483" t="str">
        <f>IF(ISBLANK(H483),"",INDEX(Sheet1!$F$2:$F$936,MATCH(H483,Sheet1!$C$2:$C$936,0)))</f>
        <v>Netherlands</v>
      </c>
      <c r="J483">
        <v>423215</v>
      </c>
      <c r="M483">
        <v>10709126.67</v>
      </c>
      <c r="N483">
        <v>1.5E-3</v>
      </c>
    </row>
    <row r="484" spans="1:14" x14ac:dyDescent="0.35">
      <c r="A484" s="1">
        <v>45657</v>
      </c>
      <c r="B484" t="s">
        <v>14</v>
      </c>
      <c r="C484" t="s">
        <v>15</v>
      </c>
      <c r="D484" t="s">
        <v>81</v>
      </c>
      <c r="E484">
        <v>1</v>
      </c>
      <c r="F484" t="s">
        <v>694</v>
      </c>
      <c r="H484" t="s">
        <v>695</v>
      </c>
      <c r="I484" t="str">
        <f>IF(ISBLANK(H484),"",INDEX(Sheet1!$F$2:$F$936,MATCH(H484,Sheet1!$C$2:$C$936,0)))</f>
        <v>Australia</v>
      </c>
      <c r="J484">
        <v>696480</v>
      </c>
      <c r="M484">
        <v>2166054.023</v>
      </c>
      <c r="N484">
        <v>2.9999999999999997E-4</v>
      </c>
    </row>
    <row r="485" spans="1:14" x14ac:dyDescent="0.35">
      <c r="A485" s="1">
        <v>45657</v>
      </c>
      <c r="B485" t="s">
        <v>14</v>
      </c>
      <c r="C485" t="s">
        <v>15</v>
      </c>
      <c r="D485" t="s">
        <v>81</v>
      </c>
      <c r="E485">
        <v>1</v>
      </c>
      <c r="F485" t="s">
        <v>696</v>
      </c>
      <c r="H485">
        <v>6714394</v>
      </c>
      <c r="I485" t="str">
        <f>IF(ISBLANK(H485),"",INDEX(Sheet1!$F$2:$F$936,MATCH(H485,Sheet1!$C$2:$C$936,0)))</f>
        <v>AUD</v>
      </c>
      <c r="J485">
        <v>1140785</v>
      </c>
      <c r="M485">
        <v>4049787.0980000002</v>
      </c>
      <c r="N485">
        <v>5.9999999999999995E-4</v>
      </c>
    </row>
    <row r="486" spans="1:14" x14ac:dyDescent="0.35">
      <c r="A486" s="1">
        <v>45657</v>
      </c>
      <c r="B486" t="s">
        <v>14</v>
      </c>
      <c r="C486" t="s">
        <v>15</v>
      </c>
      <c r="D486" t="s">
        <v>81</v>
      </c>
      <c r="E486">
        <v>1</v>
      </c>
      <c r="F486" t="s">
        <v>697</v>
      </c>
      <c r="H486" t="s">
        <v>698</v>
      </c>
      <c r="I486" t="str">
        <f>IF(ISBLANK(H486),"",INDEX(Sheet1!$F$2:$F$936,MATCH(H486,Sheet1!$C$2:$C$936,0)))</f>
        <v>United States</v>
      </c>
      <c r="J486">
        <v>8137</v>
      </c>
      <c r="M486">
        <v>3429432.0890000002</v>
      </c>
      <c r="N486">
        <v>5.0000000000000001E-4</v>
      </c>
    </row>
    <row r="487" spans="1:14" x14ac:dyDescent="0.35">
      <c r="A487" s="1">
        <v>45657</v>
      </c>
      <c r="B487" t="s">
        <v>14</v>
      </c>
      <c r="C487" t="s">
        <v>15</v>
      </c>
      <c r="D487" t="s">
        <v>81</v>
      </c>
      <c r="E487">
        <v>1</v>
      </c>
      <c r="F487" t="s">
        <v>699</v>
      </c>
      <c r="H487">
        <v>6271026</v>
      </c>
      <c r="I487" t="str">
        <f>IF(ISBLANK(H487),"",INDEX(Sheet1!$F$2:$F$936,MATCH(H487,Sheet1!$C$2:$C$936,0)))</f>
        <v>Australia</v>
      </c>
      <c r="J487">
        <v>1760563</v>
      </c>
      <c r="M487">
        <v>14894366.810000001</v>
      </c>
      <c r="N487">
        <v>2.0999999999999999E-3</v>
      </c>
    </row>
    <row r="488" spans="1:14" x14ac:dyDescent="0.35">
      <c r="A488" s="1">
        <v>45657</v>
      </c>
      <c r="B488" t="s">
        <v>14</v>
      </c>
      <c r="C488" t="s">
        <v>15</v>
      </c>
      <c r="D488" t="s">
        <v>81</v>
      </c>
      <c r="E488">
        <v>1</v>
      </c>
      <c r="F488" t="s">
        <v>700</v>
      </c>
      <c r="H488" t="s">
        <v>701</v>
      </c>
      <c r="I488" t="str">
        <f>IF(ISBLANK(H488),"",INDEX(Sheet1!$F$2:$F$936,MATCH(H488,Sheet1!$C$2:$C$936,0)))</f>
        <v>AUD</v>
      </c>
      <c r="J488">
        <v>217880</v>
      </c>
      <c r="M488">
        <v>634030.67810000002</v>
      </c>
      <c r="N488">
        <v>1E-4</v>
      </c>
    </row>
    <row r="489" spans="1:14" x14ac:dyDescent="0.35">
      <c r="A489" s="1">
        <v>45657</v>
      </c>
      <c r="B489" t="s">
        <v>14</v>
      </c>
      <c r="C489" t="s">
        <v>15</v>
      </c>
      <c r="D489" t="s">
        <v>81</v>
      </c>
      <c r="E489">
        <v>1</v>
      </c>
      <c r="F489" t="s">
        <v>702</v>
      </c>
      <c r="H489">
        <v>2205706</v>
      </c>
      <c r="I489" t="str">
        <f>IF(ISBLANK(H489),"",INDEX(Sheet1!$F$2:$F$936,MATCH(H489,Sheet1!$C$2:$C$936,0)))</f>
        <v>COP</v>
      </c>
      <c r="J489">
        <v>15636</v>
      </c>
      <c r="M489">
        <v>95731.426500000001</v>
      </c>
      <c r="N489">
        <v>0</v>
      </c>
    </row>
    <row r="490" spans="1:14" x14ac:dyDescent="0.35">
      <c r="A490" s="1">
        <v>45657</v>
      </c>
      <c r="B490" t="s">
        <v>14</v>
      </c>
      <c r="C490" t="s">
        <v>15</v>
      </c>
      <c r="D490" t="s">
        <v>81</v>
      </c>
      <c r="E490">
        <v>1</v>
      </c>
      <c r="F490" t="s">
        <v>703</v>
      </c>
      <c r="H490">
        <v>2005973</v>
      </c>
      <c r="I490" t="str">
        <f>IF(ISBLANK(H490),"",INDEX(Sheet1!$F$2:$F$936,MATCH(H490,Sheet1!$C$2:$C$936,0)))</f>
        <v>United States</v>
      </c>
      <c r="J490">
        <v>18791</v>
      </c>
      <c r="M490">
        <v>6676464.1770000001</v>
      </c>
      <c r="N490">
        <v>8.9999999999999998E-4</v>
      </c>
    </row>
    <row r="491" spans="1:14" x14ac:dyDescent="0.35">
      <c r="A491" s="1">
        <v>45657</v>
      </c>
      <c r="B491" t="s">
        <v>14</v>
      </c>
      <c r="C491" t="s">
        <v>15</v>
      </c>
      <c r="D491" t="s">
        <v>81</v>
      </c>
      <c r="E491">
        <v>1</v>
      </c>
      <c r="F491" t="s">
        <v>704</v>
      </c>
      <c r="H491">
        <v>6455819</v>
      </c>
      <c r="I491" t="str">
        <f>IF(ISBLANK(H491),"",INDEX(Sheet1!$F$2:$F$936,MATCH(H491,Sheet1!$C$2:$C$936,0)))</f>
        <v>PH</v>
      </c>
      <c r="J491">
        <v>18530</v>
      </c>
      <c r="M491">
        <v>199298.84400000001</v>
      </c>
      <c r="N491">
        <v>0</v>
      </c>
    </row>
    <row r="492" spans="1:14" x14ac:dyDescent="0.35">
      <c r="A492" s="1">
        <v>45657</v>
      </c>
      <c r="B492" t="s">
        <v>14</v>
      </c>
      <c r="C492" t="s">
        <v>15</v>
      </c>
      <c r="D492" t="s">
        <v>81</v>
      </c>
      <c r="E492">
        <v>1</v>
      </c>
      <c r="F492" t="s">
        <v>705</v>
      </c>
      <c r="H492">
        <v>2464165</v>
      </c>
      <c r="I492" t="str">
        <f>IF(ISBLANK(H492),"",INDEX(Sheet1!$F$2:$F$936,MATCH(H492,Sheet1!$C$2:$C$936,0)))</f>
        <v>United States</v>
      </c>
      <c r="J492">
        <v>21651</v>
      </c>
      <c r="M492">
        <v>2956943.53</v>
      </c>
      <c r="N492">
        <v>4.0000000000000002E-4</v>
      </c>
    </row>
    <row r="493" spans="1:14" x14ac:dyDescent="0.35">
      <c r="A493" s="1">
        <v>45657</v>
      </c>
      <c r="B493" t="s">
        <v>14</v>
      </c>
      <c r="C493" t="s">
        <v>15</v>
      </c>
      <c r="D493" t="s">
        <v>81</v>
      </c>
      <c r="E493">
        <v>1</v>
      </c>
      <c r="F493" t="s">
        <v>706</v>
      </c>
      <c r="H493">
        <v>4076836</v>
      </c>
      <c r="I493" t="str">
        <f>IF(ISBLANK(H493),"",INDEX(Sheet1!$F$2:$F$936,MATCH(H493,Sheet1!$C$2:$C$936,0)))</f>
        <v>Italy</v>
      </c>
      <c r="J493">
        <v>608375</v>
      </c>
      <c r="M493">
        <v>3930012.5449999999</v>
      </c>
      <c r="N493">
        <v>5.0000000000000001E-4</v>
      </c>
    </row>
    <row r="494" spans="1:14" x14ac:dyDescent="0.35">
      <c r="A494" s="1">
        <v>45657</v>
      </c>
      <c r="B494" t="s">
        <v>14</v>
      </c>
      <c r="C494" t="s">
        <v>15</v>
      </c>
      <c r="D494" t="s">
        <v>81</v>
      </c>
      <c r="E494">
        <v>1</v>
      </c>
      <c r="F494" t="s">
        <v>707</v>
      </c>
      <c r="H494">
        <v>2459020</v>
      </c>
      <c r="I494" t="str">
        <f>IF(ISBLANK(H494),"",INDEX(Sheet1!$F$2:$F$936,MATCH(H494,Sheet1!$C$2:$C$936,0)))</f>
        <v>United States</v>
      </c>
      <c r="J494">
        <v>6545</v>
      </c>
      <c r="M494">
        <v>6643597.7369999997</v>
      </c>
      <c r="N494">
        <v>8.9999999999999998E-4</v>
      </c>
    </row>
    <row r="495" spans="1:14" x14ac:dyDescent="0.35">
      <c r="A495" s="1">
        <v>45657</v>
      </c>
      <c r="B495" t="s">
        <v>14</v>
      </c>
      <c r="C495" t="s">
        <v>15</v>
      </c>
      <c r="D495" t="s">
        <v>81</v>
      </c>
      <c r="E495">
        <v>1</v>
      </c>
      <c r="F495" t="s">
        <v>708</v>
      </c>
      <c r="H495">
        <v>2871301</v>
      </c>
      <c r="I495" t="str">
        <f>IF(ISBLANK(H495),"",INDEX(Sheet1!$F$2:$F$936,MATCH(H495,Sheet1!$C$2:$C$936,0)))</f>
        <v>United States</v>
      </c>
      <c r="J495">
        <v>7429</v>
      </c>
      <c r="M495">
        <v>6262581.676</v>
      </c>
      <c r="N495">
        <v>8.9999999999999998E-4</v>
      </c>
    </row>
    <row r="496" spans="1:14" x14ac:dyDescent="0.35">
      <c r="A496" s="1">
        <v>45657</v>
      </c>
      <c r="B496" t="s">
        <v>14</v>
      </c>
      <c r="C496" t="s">
        <v>15</v>
      </c>
      <c r="D496" t="s">
        <v>81</v>
      </c>
      <c r="E496">
        <v>1</v>
      </c>
      <c r="F496" t="s">
        <v>709</v>
      </c>
      <c r="H496" t="s">
        <v>710</v>
      </c>
      <c r="I496" t="str">
        <f>IF(ISBLANK(H496),"",INDEX(Sheet1!$F$2:$F$936,MATCH(H496,Sheet1!$C$2:$C$936,0)))</f>
        <v>Sweden</v>
      </c>
      <c r="J496">
        <v>24083</v>
      </c>
      <c r="M496">
        <v>1027916.999</v>
      </c>
      <c r="N496">
        <v>1E-4</v>
      </c>
    </row>
    <row r="497" spans="1:14" x14ac:dyDescent="0.35">
      <c r="A497" s="1">
        <v>45657</v>
      </c>
      <c r="B497" t="s">
        <v>14</v>
      </c>
      <c r="C497" t="s">
        <v>15</v>
      </c>
      <c r="D497" t="s">
        <v>81</v>
      </c>
      <c r="E497">
        <v>1</v>
      </c>
      <c r="F497" t="s">
        <v>711</v>
      </c>
      <c r="H497" t="s">
        <v>712</v>
      </c>
      <c r="I497" t="str">
        <f>IF(ISBLANK(H497),"",INDEX(Sheet1!$F$2:$F$936,MATCH(H497,Sheet1!$C$2:$C$936,0)))</f>
        <v>AUD</v>
      </c>
      <c r="J497">
        <v>92152</v>
      </c>
      <c r="M497">
        <v>461680.43839999998</v>
      </c>
      <c r="N497">
        <v>1E-4</v>
      </c>
    </row>
    <row r="498" spans="1:14" x14ac:dyDescent="0.35">
      <c r="A498" s="1">
        <v>45657</v>
      </c>
      <c r="B498" t="s">
        <v>14</v>
      </c>
      <c r="C498" t="s">
        <v>15</v>
      </c>
      <c r="D498" t="s">
        <v>81</v>
      </c>
      <c r="E498">
        <v>1</v>
      </c>
      <c r="F498" t="s">
        <v>713</v>
      </c>
      <c r="H498" t="s">
        <v>714</v>
      </c>
      <c r="I498" t="str">
        <f>IF(ISBLANK(H498),"",INDEX(Sheet1!$F$2:$F$936,MATCH(H498,Sheet1!$C$2:$C$936,0)))</f>
        <v>France</v>
      </c>
      <c r="J498">
        <v>3016</v>
      </c>
      <c r="M498">
        <v>558333.20570000005</v>
      </c>
      <c r="N498">
        <v>1E-4</v>
      </c>
    </row>
    <row r="499" spans="1:14" x14ac:dyDescent="0.35">
      <c r="A499" s="1">
        <v>45657</v>
      </c>
      <c r="B499" t="s">
        <v>14</v>
      </c>
      <c r="C499" t="s">
        <v>15</v>
      </c>
      <c r="D499" t="s">
        <v>81</v>
      </c>
      <c r="E499">
        <v>1</v>
      </c>
      <c r="F499" t="s">
        <v>715</v>
      </c>
      <c r="H499" t="s">
        <v>716</v>
      </c>
      <c r="I499" t="str">
        <f>IF(ISBLANK(H499),"",INDEX(Sheet1!$F$2:$F$936,MATCH(H499,Sheet1!$C$2:$C$936,0)))</f>
        <v>United States</v>
      </c>
      <c r="J499">
        <v>339</v>
      </c>
      <c r="M499">
        <v>107803.726</v>
      </c>
      <c r="N499">
        <v>0</v>
      </c>
    </row>
    <row r="500" spans="1:14" x14ac:dyDescent="0.35">
      <c r="A500" s="1">
        <v>45657</v>
      </c>
      <c r="B500" t="s">
        <v>14</v>
      </c>
      <c r="C500" t="s">
        <v>15</v>
      </c>
      <c r="D500" t="s">
        <v>81</v>
      </c>
      <c r="E500">
        <v>1</v>
      </c>
      <c r="F500" t="s">
        <v>717</v>
      </c>
      <c r="H500">
        <v>6297497</v>
      </c>
      <c r="I500" t="str">
        <f>IF(ISBLANK(H500),"",INDEX(Sheet1!$F$2:$F$936,MATCH(H500,Sheet1!$C$2:$C$936,0)))</f>
        <v>AUD</v>
      </c>
      <c r="J500">
        <v>135485</v>
      </c>
      <c r="M500">
        <v>1261361.3489999999</v>
      </c>
      <c r="N500">
        <v>2.0000000000000001E-4</v>
      </c>
    </row>
    <row r="501" spans="1:14" x14ac:dyDescent="0.35">
      <c r="A501" s="1">
        <v>45657</v>
      </c>
      <c r="B501" t="s">
        <v>14</v>
      </c>
      <c r="C501" t="s">
        <v>15</v>
      </c>
      <c r="D501" t="s">
        <v>81</v>
      </c>
      <c r="E501">
        <v>1</v>
      </c>
      <c r="F501" t="s">
        <v>718</v>
      </c>
      <c r="H501" t="s">
        <v>719</v>
      </c>
      <c r="I501" t="str">
        <f>IF(ISBLANK(H501),"",INDEX(Sheet1!$F$2:$F$936,MATCH(H501,Sheet1!$C$2:$C$936,0)))</f>
        <v>Brazil</v>
      </c>
      <c r="J501">
        <v>210051</v>
      </c>
      <c r="M501">
        <v>1686988.66</v>
      </c>
      <c r="N501">
        <v>2.0000000000000001E-4</v>
      </c>
    </row>
    <row r="502" spans="1:14" x14ac:dyDescent="0.35">
      <c r="A502" s="1">
        <v>45657</v>
      </c>
      <c r="B502" t="s">
        <v>14</v>
      </c>
      <c r="C502" t="s">
        <v>15</v>
      </c>
      <c r="D502" t="s">
        <v>81</v>
      </c>
      <c r="E502">
        <v>1</v>
      </c>
      <c r="F502" t="s">
        <v>720</v>
      </c>
      <c r="H502">
        <v>6467803</v>
      </c>
      <c r="I502" t="str">
        <f>IF(ISBLANK(H502),"",INDEX(Sheet1!$F$2:$F$936,MATCH(H502,Sheet1!$C$2:$C$936,0)))</f>
        <v>Japan</v>
      </c>
      <c r="J502">
        <v>21933</v>
      </c>
      <c r="M502">
        <v>1764870.226</v>
      </c>
      <c r="N502">
        <v>2.0000000000000001E-4</v>
      </c>
    </row>
    <row r="503" spans="1:14" x14ac:dyDescent="0.35">
      <c r="A503" s="1">
        <v>45657</v>
      </c>
      <c r="B503" t="s">
        <v>14</v>
      </c>
      <c r="C503" t="s">
        <v>15</v>
      </c>
      <c r="D503" t="s">
        <v>81</v>
      </c>
      <c r="E503">
        <v>1</v>
      </c>
      <c r="F503" t="s">
        <v>721</v>
      </c>
      <c r="H503" t="s">
        <v>722</v>
      </c>
      <c r="I503" t="str">
        <f>IF(ISBLANK(H503),"",INDEX(Sheet1!$F$2:$F$936,MATCH(H503,Sheet1!$C$2:$C$936,0)))</f>
        <v>AUD</v>
      </c>
      <c r="J503">
        <v>436060</v>
      </c>
      <c r="M503">
        <v>893923.96349999995</v>
      </c>
      <c r="N503">
        <v>1E-4</v>
      </c>
    </row>
    <row r="504" spans="1:14" x14ac:dyDescent="0.35">
      <c r="A504" s="1">
        <v>45657</v>
      </c>
      <c r="B504" t="s">
        <v>14</v>
      </c>
      <c r="C504" t="s">
        <v>15</v>
      </c>
      <c r="D504" t="s">
        <v>81</v>
      </c>
      <c r="E504">
        <v>1</v>
      </c>
      <c r="F504" t="s">
        <v>723</v>
      </c>
      <c r="H504" t="s">
        <v>724</v>
      </c>
      <c r="I504" t="str">
        <f>IF(ISBLANK(H504),"",INDEX(Sheet1!$F$2:$F$936,MATCH(H504,Sheet1!$C$2:$C$936,0)))</f>
        <v>AUD</v>
      </c>
      <c r="J504">
        <v>562213</v>
      </c>
      <c r="M504">
        <v>27829554.57</v>
      </c>
      <c r="N504">
        <v>3.8999999999999903E-3</v>
      </c>
    </row>
    <row r="505" spans="1:14" x14ac:dyDescent="0.35">
      <c r="A505" s="1">
        <v>45657</v>
      </c>
      <c r="B505" t="s">
        <v>14</v>
      </c>
      <c r="C505" t="s">
        <v>15</v>
      </c>
      <c r="D505" t="s">
        <v>81</v>
      </c>
      <c r="E505">
        <v>1</v>
      </c>
      <c r="F505" t="s">
        <v>725</v>
      </c>
      <c r="H505">
        <v>6702623</v>
      </c>
      <c r="I505" t="str">
        <f>IF(ISBLANK(H505),"",INDEX(Sheet1!$F$2:$F$936,MATCH(H505,Sheet1!$C$2:$C$936,0)))</f>
        <v>Australia</v>
      </c>
      <c r="J505">
        <v>43146</v>
      </c>
      <c r="M505">
        <v>3998744.4819999998</v>
      </c>
      <c r="N505">
        <v>5.9999999999999995E-4</v>
      </c>
    </row>
    <row r="506" spans="1:14" x14ac:dyDescent="0.35">
      <c r="A506" s="1">
        <v>45657</v>
      </c>
      <c r="B506" t="s">
        <v>14</v>
      </c>
      <c r="C506" t="s">
        <v>15</v>
      </c>
      <c r="D506" t="s">
        <v>81</v>
      </c>
      <c r="E506">
        <v>1</v>
      </c>
      <c r="F506" t="s">
        <v>726</v>
      </c>
      <c r="H506" t="s">
        <v>727</v>
      </c>
      <c r="I506" t="str">
        <f>IF(ISBLANK(H506),"",INDEX(Sheet1!$F$2:$F$936,MATCH(H506,Sheet1!$C$2:$C$936,0)))</f>
        <v>Brazil</v>
      </c>
      <c r="J506">
        <v>93972</v>
      </c>
      <c r="M506">
        <v>891805.18940000003</v>
      </c>
      <c r="N506">
        <v>1E-4</v>
      </c>
    </row>
    <row r="507" spans="1:14" x14ac:dyDescent="0.35">
      <c r="A507" s="1">
        <v>45657</v>
      </c>
      <c r="B507" t="s">
        <v>14</v>
      </c>
      <c r="C507" t="s">
        <v>15</v>
      </c>
      <c r="D507" t="s">
        <v>81</v>
      </c>
      <c r="E507">
        <v>1</v>
      </c>
      <c r="F507" t="s">
        <v>728</v>
      </c>
      <c r="H507" t="s">
        <v>729</v>
      </c>
      <c r="I507" t="str">
        <f>IF(ISBLANK(H507),"",INDEX(Sheet1!$F$2:$F$936,MATCH(H507,Sheet1!$C$2:$C$936,0)))</f>
        <v>HKD</v>
      </c>
      <c r="J507">
        <v>134920</v>
      </c>
      <c r="M507">
        <v>359074.3383</v>
      </c>
      <c r="N507">
        <v>1E-4</v>
      </c>
    </row>
    <row r="508" spans="1:14" x14ac:dyDescent="0.35">
      <c r="A508" s="1">
        <v>45657</v>
      </c>
      <c r="B508" t="s">
        <v>14</v>
      </c>
      <c r="C508" t="s">
        <v>15</v>
      </c>
      <c r="D508" t="s">
        <v>81</v>
      </c>
      <c r="E508">
        <v>1</v>
      </c>
      <c r="F508" t="s">
        <v>730</v>
      </c>
      <c r="H508" t="s">
        <v>731</v>
      </c>
      <c r="I508" t="str">
        <f>IF(ISBLANK(H508),"",INDEX(Sheet1!$F$2:$F$936,MATCH(H508,Sheet1!$C$2:$C$936,0)))</f>
        <v>China</v>
      </c>
      <c r="J508">
        <v>76710</v>
      </c>
      <c r="M508">
        <v>2169134.8280000002</v>
      </c>
      <c r="N508">
        <v>2.9999999999999997E-4</v>
      </c>
    </row>
    <row r="509" spans="1:14" x14ac:dyDescent="0.35">
      <c r="A509" s="1">
        <v>45657</v>
      </c>
      <c r="B509" t="s">
        <v>14</v>
      </c>
      <c r="C509" t="s">
        <v>15</v>
      </c>
      <c r="D509" t="s">
        <v>81</v>
      </c>
      <c r="E509">
        <v>1</v>
      </c>
      <c r="F509" t="s">
        <v>732</v>
      </c>
      <c r="H509" t="s">
        <v>733</v>
      </c>
      <c r="I509" t="str">
        <f>IF(ISBLANK(H509),"",INDEX(Sheet1!$F$2:$F$936,MATCH(H509,Sheet1!$C$2:$C$936,0)))</f>
        <v>United States</v>
      </c>
      <c r="J509">
        <v>62994</v>
      </c>
      <c r="M509">
        <v>827167.38249999995</v>
      </c>
      <c r="N509">
        <v>1E-4</v>
      </c>
    </row>
    <row r="510" spans="1:14" x14ac:dyDescent="0.35">
      <c r="A510" s="1">
        <v>45657</v>
      </c>
      <c r="B510" t="s">
        <v>14</v>
      </c>
      <c r="C510" t="s">
        <v>15</v>
      </c>
      <c r="D510" t="s">
        <v>81</v>
      </c>
      <c r="E510">
        <v>1</v>
      </c>
      <c r="F510" t="s">
        <v>734</v>
      </c>
      <c r="H510">
        <v>2475833</v>
      </c>
      <c r="I510" t="str">
        <f>IF(ISBLANK(H510),"",INDEX(Sheet1!$F$2:$F$936,MATCH(H510,Sheet1!$C$2:$C$936,0)))</f>
        <v>United States</v>
      </c>
      <c r="J510">
        <v>22046</v>
      </c>
      <c r="M510">
        <v>5149753.42</v>
      </c>
      <c r="N510">
        <v>6.9999999999999891E-4</v>
      </c>
    </row>
    <row r="511" spans="1:14" x14ac:dyDescent="0.35">
      <c r="A511" s="1">
        <v>45657</v>
      </c>
      <c r="B511" t="s">
        <v>14</v>
      </c>
      <c r="C511" t="s">
        <v>15</v>
      </c>
      <c r="D511" t="s">
        <v>81</v>
      </c>
      <c r="E511">
        <v>1</v>
      </c>
      <c r="F511" t="s">
        <v>735</v>
      </c>
      <c r="H511">
        <v>2190385</v>
      </c>
      <c r="I511" t="str">
        <f>IF(ISBLANK(H511),"",INDEX(Sheet1!$F$2:$F$936,MATCH(H511,Sheet1!$C$2:$C$936,0)))</f>
        <v>United States</v>
      </c>
      <c r="J511">
        <v>65238</v>
      </c>
      <c r="M511">
        <v>25284745.18</v>
      </c>
      <c r="N511">
        <v>3.4999999999999996E-3</v>
      </c>
    </row>
    <row r="512" spans="1:14" x14ac:dyDescent="0.35">
      <c r="A512" s="1">
        <v>45657</v>
      </c>
      <c r="B512" t="s">
        <v>14</v>
      </c>
      <c r="C512" t="s">
        <v>15</v>
      </c>
      <c r="D512" t="s">
        <v>81</v>
      </c>
      <c r="E512">
        <v>1</v>
      </c>
      <c r="F512" t="s">
        <v>736</v>
      </c>
      <c r="H512" t="s">
        <v>737</v>
      </c>
      <c r="I512" t="str">
        <f>IF(ISBLANK(H512),"",INDEX(Sheet1!$F$2:$F$936,MATCH(H512,Sheet1!$C$2:$C$936,0)))</f>
        <v>KZ</v>
      </c>
      <c r="J512">
        <v>11888</v>
      </c>
      <c r="M512">
        <v>1818544.6</v>
      </c>
      <c r="N512">
        <v>2.9999999999999997E-4</v>
      </c>
    </row>
    <row r="513" spans="1:14" x14ac:dyDescent="0.35">
      <c r="A513" s="1">
        <v>45657</v>
      </c>
      <c r="B513" t="s">
        <v>14</v>
      </c>
      <c r="C513" t="s">
        <v>15</v>
      </c>
      <c r="D513" t="s">
        <v>81</v>
      </c>
      <c r="E513">
        <v>1</v>
      </c>
      <c r="F513" t="s">
        <v>738</v>
      </c>
      <c r="H513" t="s">
        <v>739</v>
      </c>
      <c r="I513" t="str">
        <f>IF(ISBLANK(H513),"",INDEX(Sheet1!$F$2:$F$936,MATCH(H513,Sheet1!$C$2:$C$936,0)))</f>
        <v>AUD</v>
      </c>
      <c r="J513">
        <v>574954</v>
      </c>
      <c r="M513">
        <v>1046417.094</v>
      </c>
      <c r="N513">
        <v>1E-4</v>
      </c>
    </row>
    <row r="514" spans="1:14" x14ac:dyDescent="0.35">
      <c r="A514" s="1">
        <v>45657</v>
      </c>
      <c r="B514" t="s">
        <v>14</v>
      </c>
      <c r="C514" t="s">
        <v>15</v>
      </c>
      <c r="D514" t="s">
        <v>81</v>
      </c>
      <c r="E514">
        <v>1</v>
      </c>
      <c r="F514" t="s">
        <v>740</v>
      </c>
      <c r="H514">
        <v>6524474</v>
      </c>
      <c r="I514" t="str">
        <f>IF(ISBLANK(H514),"",INDEX(Sheet1!$F$2:$F$936,MATCH(H514,Sheet1!$C$2:$C$936,0)))</f>
        <v>AUD</v>
      </c>
      <c r="J514">
        <v>67748</v>
      </c>
      <c r="M514">
        <v>943049.51529999997</v>
      </c>
      <c r="N514">
        <v>1E-4</v>
      </c>
    </row>
    <row r="515" spans="1:14" x14ac:dyDescent="0.35">
      <c r="A515" s="1">
        <v>45657</v>
      </c>
      <c r="B515" t="s">
        <v>14</v>
      </c>
      <c r="C515" t="s">
        <v>15</v>
      </c>
      <c r="D515" t="s">
        <v>81</v>
      </c>
      <c r="E515">
        <v>1</v>
      </c>
      <c r="F515" t="s">
        <v>741</v>
      </c>
      <c r="H515" t="s">
        <v>742</v>
      </c>
      <c r="I515" t="str">
        <f>IF(ISBLANK(H515),"",INDEX(Sheet1!$F$2:$F$936,MATCH(H515,Sheet1!$C$2:$C$936,0)))</f>
        <v>USD</v>
      </c>
      <c r="J515">
        <v>35439</v>
      </c>
      <c r="M515">
        <v>789878.96189999999</v>
      </c>
      <c r="N515">
        <v>1E-4</v>
      </c>
    </row>
    <row r="516" spans="1:14" x14ac:dyDescent="0.35">
      <c r="A516" s="1">
        <v>45657</v>
      </c>
      <c r="B516" t="s">
        <v>14</v>
      </c>
      <c r="C516" t="s">
        <v>15</v>
      </c>
      <c r="D516" t="s">
        <v>81</v>
      </c>
      <c r="E516">
        <v>1</v>
      </c>
      <c r="F516" t="s">
        <v>743</v>
      </c>
      <c r="H516" t="s">
        <v>744</v>
      </c>
      <c r="I516" t="str">
        <f>IF(ISBLANK(H516),"",INDEX(Sheet1!$F$2:$F$936,MATCH(H516,Sheet1!$C$2:$C$936,0)))</f>
        <v>AUD</v>
      </c>
      <c r="J516">
        <v>313980</v>
      </c>
      <c r="M516">
        <v>436432.72580000001</v>
      </c>
      <c r="N516">
        <v>1E-4</v>
      </c>
    </row>
    <row r="517" spans="1:14" x14ac:dyDescent="0.35">
      <c r="A517" s="1">
        <v>45657</v>
      </c>
      <c r="B517" t="s">
        <v>14</v>
      </c>
      <c r="C517" t="s">
        <v>15</v>
      </c>
      <c r="D517" t="s">
        <v>81</v>
      </c>
      <c r="E517">
        <v>1</v>
      </c>
      <c r="F517" t="s">
        <v>745</v>
      </c>
      <c r="H517">
        <v>6888794</v>
      </c>
      <c r="I517" t="str">
        <f>IF(ISBLANK(H517),"",INDEX(Sheet1!$F$2:$F$936,MATCH(H517,Sheet1!$C$2:$C$936,0)))</f>
        <v>Thailand</v>
      </c>
      <c r="J517">
        <v>455757</v>
      </c>
      <c r="M517">
        <v>3346403.361</v>
      </c>
      <c r="N517">
        <v>5.0000000000000001E-4</v>
      </c>
    </row>
    <row r="518" spans="1:14" x14ac:dyDescent="0.35">
      <c r="A518" s="1">
        <v>45657</v>
      </c>
      <c r="B518" t="s">
        <v>14</v>
      </c>
      <c r="C518" t="s">
        <v>15</v>
      </c>
      <c r="D518" t="s">
        <v>81</v>
      </c>
      <c r="E518">
        <v>1</v>
      </c>
      <c r="F518" t="s">
        <v>746</v>
      </c>
      <c r="H518" t="s">
        <v>747</v>
      </c>
      <c r="I518" t="str">
        <f>IF(ISBLANK(H518),"",INDEX(Sheet1!$F$2:$F$936,MATCH(H518,Sheet1!$C$2:$C$936,0)))</f>
        <v>South Korea</v>
      </c>
      <c r="J518">
        <v>17396</v>
      </c>
      <c r="M518">
        <v>1582138.2209999999</v>
      </c>
      <c r="N518">
        <v>2.0000000000000001E-4</v>
      </c>
    </row>
    <row r="519" spans="1:14" x14ac:dyDescent="0.35">
      <c r="A519" s="1">
        <v>45657</v>
      </c>
      <c r="B519" t="s">
        <v>14</v>
      </c>
      <c r="C519" t="s">
        <v>15</v>
      </c>
      <c r="D519" t="s">
        <v>81</v>
      </c>
      <c r="E519">
        <v>1</v>
      </c>
      <c r="F519" t="s">
        <v>748</v>
      </c>
      <c r="H519">
        <v>4497749</v>
      </c>
      <c r="I519" t="str">
        <f>IF(ISBLANK(H519),"",INDEX(Sheet1!$F$2:$F$936,MATCH(H519,Sheet1!$C$2:$C$936,0)))</f>
        <v>Belgium</v>
      </c>
      <c r="J519">
        <v>26515</v>
      </c>
      <c r="M519">
        <v>3304603.4750000001</v>
      </c>
      <c r="N519">
        <v>5.0000000000000001E-4</v>
      </c>
    </row>
    <row r="520" spans="1:14" x14ac:dyDescent="0.35">
      <c r="A520" s="1">
        <v>45657</v>
      </c>
      <c r="B520" t="s">
        <v>14</v>
      </c>
      <c r="C520" t="s">
        <v>15</v>
      </c>
      <c r="D520" t="s">
        <v>81</v>
      </c>
      <c r="E520">
        <v>1</v>
      </c>
      <c r="F520" t="s">
        <v>749</v>
      </c>
      <c r="H520" t="s">
        <v>750</v>
      </c>
      <c r="I520" t="str">
        <f>IF(ISBLANK(H520),"",INDEX(Sheet1!$F$2:$F$936,MATCH(H520,Sheet1!$C$2:$C$936,0)))</f>
        <v>United States</v>
      </c>
      <c r="J520">
        <v>66443</v>
      </c>
      <c r="M520">
        <v>3446889.2349999999</v>
      </c>
      <c r="N520">
        <v>5.0000000000000001E-4</v>
      </c>
    </row>
    <row r="521" spans="1:14" x14ac:dyDescent="0.35">
      <c r="A521" s="1">
        <v>45657</v>
      </c>
      <c r="B521" t="s">
        <v>14</v>
      </c>
      <c r="C521" t="s">
        <v>15</v>
      </c>
      <c r="D521" t="s">
        <v>81</v>
      </c>
      <c r="E521">
        <v>1</v>
      </c>
      <c r="F521" t="s">
        <v>751</v>
      </c>
      <c r="H521" t="s">
        <v>752</v>
      </c>
      <c r="I521" t="str">
        <f>IF(ISBLANK(H521),"",INDEX(Sheet1!$F$2:$F$936,MATCH(H521,Sheet1!$C$2:$C$936,0)))</f>
        <v>United States</v>
      </c>
      <c r="J521">
        <v>5638</v>
      </c>
      <c r="M521">
        <v>1463507.264</v>
      </c>
      <c r="N521">
        <v>2.0000000000000001E-4</v>
      </c>
    </row>
    <row r="522" spans="1:14" x14ac:dyDescent="0.35">
      <c r="A522" s="1">
        <v>45657</v>
      </c>
      <c r="B522" t="s">
        <v>14</v>
      </c>
      <c r="C522" t="s">
        <v>15</v>
      </c>
      <c r="D522" t="s">
        <v>81</v>
      </c>
      <c r="E522">
        <v>1</v>
      </c>
      <c r="F522" t="s">
        <v>753</v>
      </c>
      <c r="H522">
        <v>6490928</v>
      </c>
      <c r="I522" t="str">
        <f>IF(ISBLANK(H522),"",INDEX(Sheet1!$F$2:$F$936,MATCH(H522,Sheet1!$C$2:$C$936,0)))</f>
        <v>South Korea</v>
      </c>
      <c r="J522">
        <v>12923</v>
      </c>
      <c r="M522">
        <v>1427757.172</v>
      </c>
      <c r="N522">
        <v>2.0000000000000001E-4</v>
      </c>
    </row>
    <row r="523" spans="1:14" x14ac:dyDescent="0.35">
      <c r="A523" s="1">
        <v>45657</v>
      </c>
      <c r="B523" t="s">
        <v>14</v>
      </c>
      <c r="C523" t="s">
        <v>15</v>
      </c>
      <c r="D523" t="s">
        <v>81</v>
      </c>
      <c r="E523">
        <v>1</v>
      </c>
      <c r="F523" t="s">
        <v>754</v>
      </c>
      <c r="H523" t="s">
        <v>755</v>
      </c>
      <c r="I523" t="str">
        <f>IF(ISBLANK(H523),"",INDEX(Sheet1!$F$2:$F$936,MATCH(H523,Sheet1!$C$2:$C$936,0)))</f>
        <v>AUD</v>
      </c>
      <c r="J523">
        <v>480013</v>
      </c>
      <c r="M523">
        <v>544814.92339999997</v>
      </c>
      <c r="N523">
        <v>1E-4</v>
      </c>
    </row>
    <row r="524" spans="1:14" x14ac:dyDescent="0.35">
      <c r="A524" s="1">
        <v>45657</v>
      </c>
      <c r="B524" t="s">
        <v>14</v>
      </c>
      <c r="C524" t="s">
        <v>15</v>
      </c>
      <c r="D524" t="s">
        <v>81</v>
      </c>
      <c r="E524">
        <v>1</v>
      </c>
      <c r="F524" t="s">
        <v>756</v>
      </c>
      <c r="H524">
        <v>3319521</v>
      </c>
      <c r="I524" t="str">
        <f>IF(ISBLANK(H524),"",INDEX(Sheet1!$F$2:$F$936,MATCH(H524,Sheet1!$C$2:$C$936,0)))</f>
        <v>United Kingdom</v>
      </c>
      <c r="J524">
        <v>549225</v>
      </c>
      <c r="M524">
        <v>2761841.5380000002</v>
      </c>
      <c r="N524">
        <v>4.0000000000000002E-4</v>
      </c>
    </row>
    <row r="525" spans="1:14" x14ac:dyDescent="0.35">
      <c r="A525" s="1">
        <v>45657</v>
      </c>
      <c r="B525" t="s">
        <v>14</v>
      </c>
      <c r="C525" t="s">
        <v>15</v>
      </c>
      <c r="D525" t="s">
        <v>81</v>
      </c>
      <c r="E525">
        <v>1</v>
      </c>
      <c r="F525" t="s">
        <v>757</v>
      </c>
      <c r="H525" t="s">
        <v>758</v>
      </c>
      <c r="I525" t="str">
        <f>IF(ISBLANK(H525),"",INDEX(Sheet1!$F$2:$F$936,MATCH(H525,Sheet1!$C$2:$C$936,0)))</f>
        <v>HKD</v>
      </c>
      <c r="J525">
        <v>96830</v>
      </c>
      <c r="M525">
        <v>677472.89870000002</v>
      </c>
      <c r="N525">
        <v>1E-4</v>
      </c>
    </row>
    <row r="526" spans="1:14" x14ac:dyDescent="0.35">
      <c r="A526" s="1">
        <v>45657</v>
      </c>
      <c r="B526" t="s">
        <v>14</v>
      </c>
      <c r="C526" t="s">
        <v>15</v>
      </c>
      <c r="D526" t="s">
        <v>81</v>
      </c>
      <c r="E526">
        <v>1</v>
      </c>
      <c r="F526" t="s">
        <v>759</v>
      </c>
      <c r="H526" t="s">
        <v>760</v>
      </c>
      <c r="I526" t="str">
        <f>IF(ISBLANK(H526),"",INDEX(Sheet1!$F$2:$F$936,MATCH(H526,Sheet1!$C$2:$C$936,0)))</f>
        <v>Canada</v>
      </c>
      <c r="J526">
        <v>76757</v>
      </c>
      <c r="M526">
        <v>1147308.595</v>
      </c>
      <c r="N526">
        <v>2.0000000000000001E-4</v>
      </c>
    </row>
    <row r="527" spans="1:14" x14ac:dyDescent="0.35">
      <c r="A527" s="1">
        <v>45657</v>
      </c>
      <c r="B527" t="s">
        <v>14</v>
      </c>
      <c r="C527" t="s">
        <v>15</v>
      </c>
      <c r="D527" t="s">
        <v>81</v>
      </c>
      <c r="E527">
        <v>1</v>
      </c>
      <c r="F527" t="s">
        <v>761</v>
      </c>
      <c r="H527">
        <v>2480138</v>
      </c>
      <c r="I527" t="str">
        <f>IF(ISBLANK(H527),"",INDEX(Sheet1!$F$2:$F$936,MATCH(H527,Sheet1!$C$2:$C$936,0)))</f>
        <v>United States</v>
      </c>
      <c r="J527">
        <v>3863</v>
      </c>
      <c r="M527">
        <v>3930445.7769999998</v>
      </c>
      <c r="N527">
        <v>5.0000000000000001E-4</v>
      </c>
    </row>
    <row r="528" spans="1:14" x14ac:dyDescent="0.35">
      <c r="A528" s="1">
        <v>45657</v>
      </c>
      <c r="B528" t="s">
        <v>14</v>
      </c>
      <c r="C528" t="s">
        <v>15</v>
      </c>
      <c r="D528" t="s">
        <v>81</v>
      </c>
      <c r="E528">
        <v>1</v>
      </c>
      <c r="F528" t="s">
        <v>762</v>
      </c>
      <c r="H528" t="s">
        <v>763</v>
      </c>
      <c r="I528" t="str">
        <f>IF(ISBLANK(H528),"",INDEX(Sheet1!$F$2:$F$936,MATCH(H528,Sheet1!$C$2:$C$936,0)))</f>
        <v>NZD</v>
      </c>
      <c r="J528">
        <v>947302</v>
      </c>
      <c r="M528">
        <v>345765.20779999997</v>
      </c>
      <c r="N528">
        <v>0</v>
      </c>
    </row>
    <row r="529" spans="1:14" x14ac:dyDescent="0.35">
      <c r="A529" s="1">
        <v>45657</v>
      </c>
      <c r="B529" t="s">
        <v>14</v>
      </c>
      <c r="C529" t="s">
        <v>15</v>
      </c>
      <c r="D529" t="s">
        <v>81</v>
      </c>
      <c r="E529">
        <v>1</v>
      </c>
      <c r="F529" t="s">
        <v>764</v>
      </c>
      <c r="H529" t="s">
        <v>765</v>
      </c>
      <c r="I529" t="str">
        <f>IF(ISBLANK(H529),"",INDEX(Sheet1!$F$2:$F$936,MATCH(H529,Sheet1!$C$2:$C$936,0)))</f>
        <v>AUD</v>
      </c>
      <c r="J529">
        <v>126225</v>
      </c>
      <c r="M529">
        <v>739677.68700000003</v>
      </c>
      <c r="N529">
        <v>1E-4</v>
      </c>
    </row>
    <row r="530" spans="1:14" x14ac:dyDescent="0.35">
      <c r="A530" s="1">
        <v>45657</v>
      </c>
      <c r="B530" t="s">
        <v>14</v>
      </c>
      <c r="C530" t="s">
        <v>15</v>
      </c>
      <c r="D530" t="s">
        <v>81</v>
      </c>
      <c r="E530">
        <v>1</v>
      </c>
      <c r="F530" t="s">
        <v>766</v>
      </c>
      <c r="H530">
        <v>6496584</v>
      </c>
      <c r="I530" t="str">
        <f>IF(ISBLANK(H530),"",INDEX(Sheet1!$F$2:$F$936,MATCH(H530,Sheet1!$C$2:$C$936,0)))</f>
        <v>Japan</v>
      </c>
      <c r="J530">
        <v>80460</v>
      </c>
      <c r="M530">
        <v>3593610.36</v>
      </c>
      <c r="N530">
        <v>5.0000000000000001E-4</v>
      </c>
    </row>
    <row r="531" spans="1:14" x14ac:dyDescent="0.35">
      <c r="A531" s="1">
        <v>45657</v>
      </c>
      <c r="B531" t="s">
        <v>14</v>
      </c>
      <c r="C531" t="s">
        <v>15</v>
      </c>
      <c r="D531" t="s">
        <v>81</v>
      </c>
      <c r="E531">
        <v>1</v>
      </c>
      <c r="F531" t="s">
        <v>767</v>
      </c>
      <c r="H531">
        <v>5956078</v>
      </c>
      <c r="I531" t="str">
        <f>IF(ISBLANK(H531),"",INDEX(Sheet1!$F$2:$F$936,MATCH(H531,Sheet1!$C$2:$C$936,0)))</f>
        <v>Netherlands</v>
      </c>
      <c r="J531">
        <v>55892</v>
      </c>
      <c r="M531">
        <v>327635.09350000002</v>
      </c>
      <c r="N531">
        <v>0</v>
      </c>
    </row>
    <row r="532" spans="1:14" x14ac:dyDescent="0.35">
      <c r="A532" s="1">
        <v>45657</v>
      </c>
      <c r="B532" t="s">
        <v>14</v>
      </c>
      <c r="C532" t="s">
        <v>15</v>
      </c>
      <c r="D532" t="s">
        <v>81</v>
      </c>
      <c r="E532">
        <v>1</v>
      </c>
      <c r="F532" t="s">
        <v>768</v>
      </c>
      <c r="H532">
        <v>5986622</v>
      </c>
      <c r="I532" t="str">
        <f>IF(ISBLANK(H532),"",INDEX(Sheet1!$F$2:$F$936,MATCH(H532,Sheet1!$C$2:$C$936,0)))</f>
        <v>Netherlands</v>
      </c>
      <c r="J532">
        <v>72289</v>
      </c>
      <c r="M532">
        <v>2949973.159</v>
      </c>
      <c r="N532">
        <v>4.0000000000000002E-4</v>
      </c>
    </row>
    <row r="533" spans="1:14" x14ac:dyDescent="0.35">
      <c r="A533" s="1">
        <v>45657</v>
      </c>
      <c r="B533" t="s">
        <v>14</v>
      </c>
      <c r="C533" t="s">
        <v>15</v>
      </c>
      <c r="D533" t="s">
        <v>81</v>
      </c>
      <c r="E533">
        <v>1</v>
      </c>
      <c r="F533" t="s">
        <v>769</v>
      </c>
      <c r="H533">
        <v>6654586</v>
      </c>
      <c r="I533" t="str">
        <f>IF(ISBLANK(H533),"",INDEX(Sheet1!$F$2:$F$936,MATCH(H533,Sheet1!$C$2:$C$936,0)))</f>
        <v>South Korea</v>
      </c>
      <c r="J533">
        <v>1740</v>
      </c>
      <c r="M533">
        <v>136111.84419999999</v>
      </c>
      <c r="N533">
        <v>0</v>
      </c>
    </row>
    <row r="534" spans="1:14" x14ac:dyDescent="0.35">
      <c r="A534" s="1">
        <v>45657</v>
      </c>
      <c r="B534" t="s">
        <v>14</v>
      </c>
      <c r="C534" t="s">
        <v>15</v>
      </c>
      <c r="D534" t="s">
        <v>81</v>
      </c>
      <c r="E534">
        <v>1</v>
      </c>
      <c r="F534" t="s">
        <v>770</v>
      </c>
      <c r="H534" t="s">
        <v>771</v>
      </c>
      <c r="I534" t="str">
        <f>IF(ISBLANK(H534),"",INDEX(Sheet1!$F$2:$F$936,MATCH(H534,Sheet1!$C$2:$C$936,0)))</f>
        <v>United States</v>
      </c>
      <c r="J534">
        <v>43946</v>
      </c>
      <c r="M534">
        <v>2179711.889</v>
      </c>
      <c r="N534">
        <v>2.9999999999999997E-4</v>
      </c>
    </row>
    <row r="535" spans="1:14" x14ac:dyDescent="0.35">
      <c r="A535" s="1">
        <v>45657</v>
      </c>
      <c r="B535" t="s">
        <v>14</v>
      </c>
      <c r="C535" t="s">
        <v>15</v>
      </c>
      <c r="D535" t="s">
        <v>81</v>
      </c>
      <c r="E535">
        <v>1</v>
      </c>
      <c r="F535" t="s">
        <v>772</v>
      </c>
      <c r="H535" t="s">
        <v>773</v>
      </c>
      <c r="I535" t="str">
        <f>IF(ISBLANK(H535),"",INDEX(Sheet1!$F$2:$F$936,MATCH(H535,Sheet1!$C$2:$C$936,0)))</f>
        <v>KRW</v>
      </c>
      <c r="J535">
        <v>2238</v>
      </c>
      <c r="M535">
        <v>767352.56050000002</v>
      </c>
      <c r="N535">
        <v>1E-4</v>
      </c>
    </row>
    <row r="536" spans="1:14" x14ac:dyDescent="0.35">
      <c r="A536" s="1">
        <v>45657</v>
      </c>
      <c r="B536" t="s">
        <v>14</v>
      </c>
      <c r="C536" t="s">
        <v>15</v>
      </c>
      <c r="D536" t="s">
        <v>81</v>
      </c>
      <c r="E536">
        <v>1</v>
      </c>
      <c r="F536" t="s">
        <v>774</v>
      </c>
      <c r="H536">
        <v>2497406</v>
      </c>
      <c r="I536" t="str">
        <f>IF(ISBLANK(H536),"",INDEX(Sheet1!$F$2:$F$936,MATCH(H536,Sheet1!$C$2:$C$936,0)))</f>
        <v>United States</v>
      </c>
      <c r="J536">
        <v>36865</v>
      </c>
      <c r="M536">
        <v>3642174.4929999998</v>
      </c>
      <c r="N536">
        <v>5.0000000000000001E-4</v>
      </c>
    </row>
    <row r="537" spans="1:14" x14ac:dyDescent="0.35">
      <c r="A537" s="1">
        <v>45657</v>
      </c>
      <c r="B537" t="s">
        <v>14</v>
      </c>
      <c r="C537" t="s">
        <v>15</v>
      </c>
      <c r="D537" t="s">
        <v>81</v>
      </c>
      <c r="E537">
        <v>1</v>
      </c>
      <c r="F537" t="s">
        <v>775</v>
      </c>
      <c r="H537" t="s">
        <v>776</v>
      </c>
      <c r="I537" t="str">
        <f>IF(ISBLANK(H537),"",INDEX(Sheet1!$F$2:$F$936,MATCH(H537,Sheet1!$C$2:$C$936,0)))</f>
        <v>China</v>
      </c>
      <c r="J537">
        <v>163957</v>
      </c>
      <c r="M537">
        <v>1409624.716</v>
      </c>
      <c r="N537">
        <v>2.0000000000000001E-4</v>
      </c>
    </row>
    <row r="538" spans="1:14" x14ac:dyDescent="0.35">
      <c r="A538" s="1">
        <v>45657</v>
      </c>
      <c r="B538" t="s">
        <v>14</v>
      </c>
      <c r="C538" t="s">
        <v>15</v>
      </c>
      <c r="D538" t="s">
        <v>81</v>
      </c>
      <c r="E538">
        <v>1</v>
      </c>
      <c r="F538" t="s">
        <v>777</v>
      </c>
      <c r="H538" t="s">
        <v>778</v>
      </c>
      <c r="I538" t="str">
        <f>IF(ISBLANK(H538),"",INDEX(Sheet1!$F$2:$F$936,MATCH(H538,Sheet1!$C$2:$C$936,0)))</f>
        <v>South Africa</v>
      </c>
      <c r="J538">
        <v>14838</v>
      </c>
      <c r="M538">
        <v>414333.16629999998</v>
      </c>
      <c r="N538">
        <v>1E-4</v>
      </c>
    </row>
    <row r="539" spans="1:14" x14ac:dyDescent="0.35">
      <c r="A539" s="1">
        <v>45657</v>
      </c>
      <c r="B539" t="s">
        <v>14</v>
      </c>
      <c r="C539" t="s">
        <v>15</v>
      </c>
      <c r="D539" t="s">
        <v>81</v>
      </c>
      <c r="E539">
        <v>1</v>
      </c>
      <c r="F539" t="s">
        <v>779</v>
      </c>
      <c r="H539">
        <v>6340078</v>
      </c>
      <c r="I539" t="str">
        <f>IF(ISBLANK(H539),"",INDEX(Sheet1!$F$2:$F$936,MATCH(H539,Sheet1!$C$2:$C$936,0)))</f>
        <v>Hong Kong</v>
      </c>
      <c r="J539">
        <v>748973</v>
      </c>
      <c r="M539">
        <v>1306549.1529999999</v>
      </c>
      <c r="N539">
        <v>2.0000000000000001E-4</v>
      </c>
    </row>
    <row r="540" spans="1:14" x14ac:dyDescent="0.35">
      <c r="A540" s="1">
        <v>45657</v>
      </c>
      <c r="B540" t="s">
        <v>14</v>
      </c>
      <c r="C540" t="s">
        <v>15</v>
      </c>
      <c r="D540" t="s">
        <v>81</v>
      </c>
      <c r="E540">
        <v>1</v>
      </c>
      <c r="F540" t="s">
        <v>780</v>
      </c>
      <c r="H540" t="s">
        <v>781</v>
      </c>
      <c r="I540" t="str">
        <f>IF(ISBLANK(H540),"",INDEX(Sheet1!$F$2:$F$936,MATCH(H540,Sheet1!$C$2:$C$936,0)))</f>
        <v>China</v>
      </c>
      <c r="J540">
        <v>4875</v>
      </c>
      <c r="M540">
        <v>1643886.142</v>
      </c>
      <c r="N540">
        <v>2.0000000000000001E-4</v>
      </c>
    </row>
    <row r="541" spans="1:14" x14ac:dyDescent="0.35">
      <c r="A541" s="1">
        <v>45657</v>
      </c>
      <c r="B541" t="s">
        <v>14</v>
      </c>
      <c r="C541" t="s">
        <v>15</v>
      </c>
      <c r="D541" t="s">
        <v>81</v>
      </c>
      <c r="E541">
        <v>1</v>
      </c>
      <c r="F541" t="s">
        <v>782</v>
      </c>
      <c r="H541" t="s">
        <v>783</v>
      </c>
      <c r="I541" t="str">
        <f>IF(ISBLANK(H541),"",INDEX(Sheet1!$F$2:$F$936,MATCH(H541,Sheet1!$C$2:$C$936,0)))</f>
        <v>EUR</v>
      </c>
      <c r="J541">
        <v>48332</v>
      </c>
      <c r="M541">
        <v>3006994.8149999999</v>
      </c>
      <c r="N541">
        <v>4.0000000000000002E-4</v>
      </c>
    </row>
    <row r="542" spans="1:14" x14ac:dyDescent="0.35">
      <c r="A542" s="1">
        <v>45657</v>
      </c>
      <c r="B542" t="s">
        <v>14</v>
      </c>
      <c r="C542" t="s">
        <v>15</v>
      </c>
      <c r="D542" t="s">
        <v>81</v>
      </c>
      <c r="E542">
        <v>1</v>
      </c>
      <c r="F542" t="s">
        <v>784</v>
      </c>
      <c r="H542" t="s">
        <v>785</v>
      </c>
      <c r="I542" t="str">
        <f>IF(ISBLANK(H542),"",INDEX(Sheet1!$F$2:$F$936,MATCH(H542,Sheet1!$C$2:$C$936,0)))</f>
        <v>United States</v>
      </c>
      <c r="J542">
        <v>20295</v>
      </c>
      <c r="M542">
        <v>2366583.2230000002</v>
      </c>
      <c r="N542">
        <v>2.9999999999999997E-4</v>
      </c>
    </row>
    <row r="543" spans="1:14" x14ac:dyDescent="0.35">
      <c r="A543" s="1">
        <v>45657</v>
      </c>
      <c r="B543" t="s">
        <v>14</v>
      </c>
      <c r="C543" t="s">
        <v>15</v>
      </c>
      <c r="D543" t="s">
        <v>81</v>
      </c>
      <c r="E543">
        <v>1</v>
      </c>
      <c r="F543" t="s">
        <v>786</v>
      </c>
      <c r="H543" t="s">
        <v>787</v>
      </c>
      <c r="I543" t="str">
        <f>IF(ISBLANK(H543),"",INDEX(Sheet1!$F$2:$F$936,MATCH(H543,Sheet1!$C$2:$C$936,0)))</f>
        <v>United States</v>
      </c>
      <c r="J543">
        <v>38219</v>
      </c>
      <c r="M543">
        <v>3172796.352</v>
      </c>
      <c r="N543">
        <v>4.0000000000000002E-4</v>
      </c>
    </row>
    <row r="544" spans="1:14" x14ac:dyDescent="0.35">
      <c r="A544" s="1">
        <v>45657</v>
      </c>
      <c r="B544" t="s">
        <v>14</v>
      </c>
      <c r="C544" t="s">
        <v>15</v>
      </c>
      <c r="D544" t="s">
        <v>81</v>
      </c>
      <c r="E544">
        <v>1</v>
      </c>
      <c r="F544" t="s">
        <v>788</v>
      </c>
      <c r="H544" t="s">
        <v>789</v>
      </c>
      <c r="I544" t="str">
        <f>IF(ISBLANK(H544),"",INDEX(Sheet1!$F$2:$F$936,MATCH(H544,Sheet1!$C$2:$C$936,0)))</f>
        <v>EUR</v>
      </c>
      <c r="J544">
        <v>5608</v>
      </c>
      <c r="M544">
        <v>766043.31579999998</v>
      </c>
      <c r="N544">
        <v>1E-4</v>
      </c>
    </row>
    <row r="545" spans="1:14" x14ac:dyDescent="0.35">
      <c r="A545" s="1">
        <v>45657</v>
      </c>
      <c r="B545" t="s">
        <v>14</v>
      </c>
      <c r="C545" t="s">
        <v>15</v>
      </c>
      <c r="D545" t="s">
        <v>81</v>
      </c>
      <c r="E545">
        <v>1</v>
      </c>
      <c r="F545" t="s">
        <v>790</v>
      </c>
      <c r="H545" t="s">
        <v>791</v>
      </c>
      <c r="I545" t="str">
        <f>IF(ISBLANK(H545),"",INDEX(Sheet1!$F$2:$F$936,MATCH(H545,Sheet1!$C$2:$C$936,0)))</f>
        <v>France</v>
      </c>
      <c r="J545">
        <v>11170</v>
      </c>
      <c r="M545">
        <v>1750769.66</v>
      </c>
      <c r="N545">
        <v>2.0000000000000001E-4</v>
      </c>
    </row>
    <row r="546" spans="1:14" x14ac:dyDescent="0.35">
      <c r="A546" s="1">
        <v>45657</v>
      </c>
      <c r="B546" t="s">
        <v>14</v>
      </c>
      <c r="C546" t="s">
        <v>15</v>
      </c>
      <c r="D546" t="s">
        <v>81</v>
      </c>
      <c r="E546">
        <v>1</v>
      </c>
      <c r="F546" t="s">
        <v>792</v>
      </c>
      <c r="H546">
        <v>2511920</v>
      </c>
      <c r="I546" t="str">
        <f>IF(ISBLANK(H546),"",INDEX(Sheet1!$F$2:$F$936,MATCH(H546,Sheet1!$C$2:$C$936,0)))</f>
        <v>United States</v>
      </c>
      <c r="J546">
        <v>13353</v>
      </c>
      <c r="M546">
        <v>2940870.6239999998</v>
      </c>
      <c r="N546">
        <v>4.0000000000000002E-4</v>
      </c>
    </row>
    <row r="547" spans="1:14" x14ac:dyDescent="0.35">
      <c r="A547" s="1">
        <v>45657</v>
      </c>
      <c r="B547" t="s">
        <v>14</v>
      </c>
      <c r="C547" t="s">
        <v>15</v>
      </c>
      <c r="D547" t="s">
        <v>81</v>
      </c>
      <c r="E547">
        <v>1</v>
      </c>
      <c r="F547" t="s">
        <v>793</v>
      </c>
      <c r="H547">
        <v>6218089</v>
      </c>
      <c r="I547" t="str">
        <f>IF(ISBLANK(H547),"",INDEX(Sheet1!$F$2:$F$936,MATCH(H547,Sheet1!$C$2:$C$936,0)))</f>
        <v>China</v>
      </c>
      <c r="J547">
        <v>235658</v>
      </c>
      <c r="M547">
        <v>493901.86310000002</v>
      </c>
      <c r="N547">
        <v>1E-4</v>
      </c>
    </row>
    <row r="548" spans="1:14" x14ac:dyDescent="0.35">
      <c r="A548" s="1">
        <v>45657</v>
      </c>
      <c r="B548" t="s">
        <v>14</v>
      </c>
      <c r="C548" t="s">
        <v>15</v>
      </c>
      <c r="D548" t="s">
        <v>81</v>
      </c>
      <c r="E548">
        <v>1</v>
      </c>
      <c r="F548" t="s">
        <v>794</v>
      </c>
      <c r="H548" t="s">
        <v>795</v>
      </c>
      <c r="I548" t="str">
        <f>IF(ISBLANK(H548),"",INDEX(Sheet1!$F$2:$F$936,MATCH(H548,Sheet1!$C$2:$C$936,0)))</f>
        <v>Italy</v>
      </c>
      <c r="J548">
        <v>57140</v>
      </c>
      <c r="M548">
        <v>2471290.0630000001</v>
      </c>
      <c r="N548">
        <v>2.9999999999999997E-4</v>
      </c>
    </row>
    <row r="549" spans="1:14" x14ac:dyDescent="0.35">
      <c r="A549" s="1">
        <v>45657</v>
      </c>
      <c r="B549" t="s">
        <v>14</v>
      </c>
      <c r="C549" t="s">
        <v>15</v>
      </c>
      <c r="D549" t="s">
        <v>81</v>
      </c>
      <c r="E549">
        <v>1</v>
      </c>
      <c r="F549" t="s">
        <v>796</v>
      </c>
      <c r="H549" t="s">
        <v>797</v>
      </c>
      <c r="I549" t="str">
        <f>IF(ISBLANK(H549),"",INDEX(Sheet1!$F$2:$F$936,MATCH(H549,Sheet1!$C$2:$C$936,0)))</f>
        <v>AUD</v>
      </c>
      <c r="J549">
        <v>11290</v>
      </c>
      <c r="M549">
        <v>233242.14679999999</v>
      </c>
      <c r="N549">
        <v>0</v>
      </c>
    </row>
    <row r="550" spans="1:14" x14ac:dyDescent="0.35">
      <c r="A550" s="1">
        <v>45657</v>
      </c>
      <c r="B550" t="s">
        <v>14</v>
      </c>
      <c r="C550" t="s">
        <v>15</v>
      </c>
      <c r="D550" t="s">
        <v>81</v>
      </c>
      <c r="E550">
        <v>1</v>
      </c>
      <c r="F550" t="s">
        <v>798</v>
      </c>
      <c r="H550" t="s">
        <v>799</v>
      </c>
      <c r="I550" t="str">
        <f>IF(ISBLANK(H550),"",INDEX(Sheet1!$F$2:$F$936,MATCH(H550,Sheet1!$C$2:$C$936,0)))</f>
        <v>United States</v>
      </c>
      <c r="J550">
        <v>6983</v>
      </c>
      <c r="M550">
        <v>957529.59479999996</v>
      </c>
      <c r="N550">
        <v>1E-4</v>
      </c>
    </row>
    <row r="551" spans="1:14" x14ac:dyDescent="0.35">
      <c r="A551" s="1">
        <v>45657</v>
      </c>
      <c r="B551" t="s">
        <v>14</v>
      </c>
      <c r="C551" t="s">
        <v>15</v>
      </c>
      <c r="D551" t="s">
        <v>81</v>
      </c>
      <c r="E551">
        <v>1</v>
      </c>
      <c r="F551" t="s">
        <v>800</v>
      </c>
      <c r="H551" t="s">
        <v>801</v>
      </c>
      <c r="I551" t="str">
        <f>IF(ISBLANK(H551),"",INDEX(Sheet1!$F$2:$F$936,MATCH(H551,Sheet1!$C$2:$C$936,0)))</f>
        <v>United Kingdom</v>
      </c>
      <c r="J551">
        <v>2239</v>
      </c>
      <c r="M551">
        <v>1513952.156</v>
      </c>
      <c r="N551">
        <v>2.0000000000000001E-4</v>
      </c>
    </row>
    <row r="552" spans="1:14" x14ac:dyDescent="0.35">
      <c r="A552" s="1">
        <v>45657</v>
      </c>
      <c r="B552" t="s">
        <v>14</v>
      </c>
      <c r="C552" t="s">
        <v>15</v>
      </c>
      <c r="D552" t="s">
        <v>81</v>
      </c>
      <c r="E552">
        <v>1</v>
      </c>
      <c r="F552" t="s">
        <v>802</v>
      </c>
      <c r="H552">
        <v>6103710</v>
      </c>
      <c r="I552" t="str">
        <f>IF(ISBLANK(H552),"",INDEX(Sheet1!$F$2:$F$936,MATCH(H552,Sheet1!$C$2:$C$936,0)))</f>
        <v>AUD</v>
      </c>
      <c r="J552">
        <v>388237</v>
      </c>
      <c r="M552">
        <v>339706.94380000001</v>
      </c>
      <c r="N552">
        <v>0</v>
      </c>
    </row>
    <row r="553" spans="1:14" x14ac:dyDescent="0.35">
      <c r="A553" s="1">
        <v>45657</v>
      </c>
      <c r="B553" t="s">
        <v>14</v>
      </c>
      <c r="C553" t="s">
        <v>15</v>
      </c>
      <c r="D553" t="s">
        <v>81</v>
      </c>
      <c r="E553">
        <v>1</v>
      </c>
      <c r="F553" t="s">
        <v>803</v>
      </c>
      <c r="H553">
        <v>870612</v>
      </c>
      <c r="I553" t="str">
        <f>IF(ISBLANK(H553),"",INDEX(Sheet1!$F$2:$F$936,MATCH(H553,Sheet1!$C$2:$C$936,0)))</f>
        <v>United Kingdom</v>
      </c>
      <c r="J553">
        <v>6989582</v>
      </c>
      <c r="M553">
        <v>7744982.3300000001</v>
      </c>
      <c r="N553">
        <v>1.1000000000000001E-3</v>
      </c>
    </row>
    <row r="554" spans="1:14" x14ac:dyDescent="0.35">
      <c r="A554" s="1">
        <v>45657</v>
      </c>
      <c r="B554" t="s">
        <v>14</v>
      </c>
      <c r="C554" t="s">
        <v>15</v>
      </c>
      <c r="D554" t="s">
        <v>81</v>
      </c>
      <c r="E554">
        <v>1</v>
      </c>
      <c r="F554" t="s">
        <v>804</v>
      </c>
      <c r="H554">
        <v>2521800</v>
      </c>
      <c r="I554" t="str">
        <f>IF(ISBLANK(H554),"",INDEX(Sheet1!$F$2:$F$936,MATCH(H554,Sheet1!$C$2:$C$936,0)))</f>
        <v>Canada</v>
      </c>
      <c r="J554">
        <v>5280</v>
      </c>
      <c r="M554">
        <v>1119575.699</v>
      </c>
      <c r="N554">
        <v>2.0000000000000001E-4</v>
      </c>
    </row>
    <row r="555" spans="1:14" x14ac:dyDescent="0.35">
      <c r="A555" s="1">
        <v>45657</v>
      </c>
      <c r="B555" t="s">
        <v>14</v>
      </c>
      <c r="C555" t="s">
        <v>15</v>
      </c>
      <c r="D555" t="s">
        <v>81</v>
      </c>
      <c r="E555">
        <v>1</v>
      </c>
      <c r="F555" t="s">
        <v>805</v>
      </c>
      <c r="H555" t="s">
        <v>806</v>
      </c>
      <c r="I555" t="str">
        <f>IF(ISBLANK(H555),"",INDEX(Sheet1!$F$2:$F$936,MATCH(H555,Sheet1!$C$2:$C$936,0)))</f>
        <v>BRL</v>
      </c>
      <c r="J555">
        <v>181154</v>
      </c>
      <c r="M555">
        <v>1525000.1740000001</v>
      </c>
      <c r="N555">
        <v>2.0000000000000001E-4</v>
      </c>
    </row>
    <row r="556" spans="1:14" x14ac:dyDescent="0.35">
      <c r="A556" s="1">
        <v>45657</v>
      </c>
      <c r="B556" t="s">
        <v>14</v>
      </c>
      <c r="C556" t="s">
        <v>15</v>
      </c>
      <c r="D556" t="s">
        <v>81</v>
      </c>
      <c r="E556">
        <v>1</v>
      </c>
      <c r="F556" t="s">
        <v>807</v>
      </c>
      <c r="H556" t="s">
        <v>808</v>
      </c>
      <c r="I556" t="str">
        <f>IF(ISBLANK(H556),"",INDEX(Sheet1!$F$2:$F$936,MATCH(H556,Sheet1!$C$2:$C$936,0)))</f>
        <v>HKD</v>
      </c>
      <c r="J556">
        <v>137078</v>
      </c>
      <c r="M556">
        <v>285014.2844</v>
      </c>
      <c r="N556">
        <v>0</v>
      </c>
    </row>
    <row r="557" spans="1:14" x14ac:dyDescent="0.35">
      <c r="A557" s="1">
        <v>45657</v>
      </c>
      <c r="B557" t="s">
        <v>14</v>
      </c>
      <c r="C557" t="s">
        <v>15</v>
      </c>
      <c r="D557" t="s">
        <v>81</v>
      </c>
      <c r="E557">
        <v>1</v>
      </c>
      <c r="F557" t="s">
        <v>809</v>
      </c>
      <c r="H557">
        <v>4057808</v>
      </c>
      <c r="I557" t="str">
        <f>IF(ISBLANK(H557),"",INDEX(Sheet1!$F$2:$F$936,MATCH(H557,Sheet1!$C$2:$C$936,0)))</f>
        <v>France</v>
      </c>
      <c r="J557">
        <v>5974</v>
      </c>
      <c r="M557">
        <v>3409340.04</v>
      </c>
      <c r="N557">
        <v>5.0000000000000001E-4</v>
      </c>
    </row>
    <row r="558" spans="1:14" x14ac:dyDescent="0.35">
      <c r="A558" s="1">
        <v>45657</v>
      </c>
      <c r="B558" t="s">
        <v>14</v>
      </c>
      <c r="C558" t="s">
        <v>15</v>
      </c>
      <c r="D558" t="s">
        <v>81</v>
      </c>
      <c r="E558">
        <v>1</v>
      </c>
      <c r="F558" t="s">
        <v>810</v>
      </c>
      <c r="H558" t="s">
        <v>811</v>
      </c>
      <c r="I558" t="str">
        <f>IF(ISBLANK(H558),"",INDEX(Sheet1!$F$2:$F$936,MATCH(H558,Sheet1!$C$2:$C$936,0)))</f>
        <v>Australia</v>
      </c>
      <c r="J558">
        <v>2098726</v>
      </c>
      <c r="M558">
        <v>10367704.619999999</v>
      </c>
      <c r="N558">
        <v>1.3999999999999898E-3</v>
      </c>
    </row>
    <row r="559" spans="1:14" x14ac:dyDescent="0.35">
      <c r="A559" s="1">
        <v>45657</v>
      </c>
      <c r="B559" t="s">
        <v>14</v>
      </c>
      <c r="C559" t="s">
        <v>15</v>
      </c>
      <c r="D559" t="s">
        <v>81</v>
      </c>
      <c r="E559">
        <v>1</v>
      </c>
      <c r="F559" t="s">
        <v>812</v>
      </c>
      <c r="H559" t="s">
        <v>813</v>
      </c>
      <c r="I559" t="str">
        <f>IF(ISBLANK(H559),"",INDEX(Sheet1!$F$2:$F$936,MATCH(H559,Sheet1!$C$2:$C$936,0)))</f>
        <v>Australia</v>
      </c>
      <c r="J559">
        <v>28456</v>
      </c>
      <c r="M559">
        <v>858247.37659999996</v>
      </c>
      <c r="N559">
        <v>1E-4</v>
      </c>
    </row>
    <row r="560" spans="1:14" x14ac:dyDescent="0.35">
      <c r="A560" s="1">
        <v>45657</v>
      </c>
      <c r="B560" t="s">
        <v>14</v>
      </c>
      <c r="C560" t="s">
        <v>15</v>
      </c>
      <c r="D560" t="s">
        <v>81</v>
      </c>
      <c r="E560">
        <v>1</v>
      </c>
      <c r="F560" t="s">
        <v>814</v>
      </c>
      <c r="H560">
        <v>2536763</v>
      </c>
      <c r="I560" t="str">
        <f>IF(ISBLANK(H560),"",INDEX(Sheet1!$F$2:$F$936,MATCH(H560,Sheet1!$C$2:$C$936,0)))</f>
        <v>United States</v>
      </c>
      <c r="J560">
        <v>971</v>
      </c>
      <c r="M560">
        <v>387202.25959999999</v>
      </c>
      <c r="N560">
        <v>1E-4</v>
      </c>
    </row>
    <row r="561" spans="1:14" x14ac:dyDescent="0.35">
      <c r="A561" s="1">
        <v>45657</v>
      </c>
      <c r="B561" t="s">
        <v>14</v>
      </c>
      <c r="C561" t="s">
        <v>15</v>
      </c>
      <c r="D561" t="s">
        <v>81</v>
      </c>
      <c r="E561">
        <v>1</v>
      </c>
      <c r="F561" t="s">
        <v>815</v>
      </c>
      <c r="H561" t="s">
        <v>816</v>
      </c>
      <c r="I561" t="str">
        <f>IF(ISBLANK(H561),"",INDEX(Sheet1!$F$2:$F$936,MATCH(H561,Sheet1!$C$2:$C$936,0)))</f>
        <v>United States</v>
      </c>
      <c r="J561">
        <v>1096</v>
      </c>
      <c r="M561">
        <v>676921.79119999998</v>
      </c>
      <c r="N561">
        <v>1E-4</v>
      </c>
    </row>
    <row r="562" spans="1:14" x14ac:dyDescent="0.35">
      <c r="A562" s="1">
        <v>45657</v>
      </c>
      <c r="B562" t="s">
        <v>14</v>
      </c>
      <c r="C562" t="s">
        <v>15</v>
      </c>
      <c r="D562" t="s">
        <v>81</v>
      </c>
      <c r="E562">
        <v>1</v>
      </c>
      <c r="F562" t="s">
        <v>817</v>
      </c>
      <c r="H562">
        <v>4061412</v>
      </c>
      <c r="I562" t="str">
        <f>IF(ISBLANK(H562),"",INDEX(Sheet1!$F$2:$F$936,MATCH(H562,Sheet1!$C$2:$C$936,0)))</f>
        <v>France</v>
      </c>
      <c r="J562">
        <v>1312</v>
      </c>
      <c r="M562">
        <v>1394933.057</v>
      </c>
      <c r="N562">
        <v>2.0000000000000001E-4</v>
      </c>
    </row>
    <row r="563" spans="1:14" x14ac:dyDescent="0.35">
      <c r="A563" s="1">
        <v>45657</v>
      </c>
      <c r="B563" t="s">
        <v>14</v>
      </c>
      <c r="C563" t="s">
        <v>15</v>
      </c>
      <c r="D563" t="s">
        <v>81</v>
      </c>
      <c r="E563">
        <v>1</v>
      </c>
      <c r="F563" t="s">
        <v>818</v>
      </c>
      <c r="H563" t="s">
        <v>819</v>
      </c>
      <c r="I563" t="str">
        <f>IF(ISBLANK(H563),"",INDEX(Sheet1!$F$2:$F$936,MATCH(H563,Sheet1!$C$2:$C$936,0)))</f>
        <v>AUD</v>
      </c>
      <c r="J563">
        <v>99749</v>
      </c>
      <c r="M563">
        <v>991500.1139</v>
      </c>
      <c r="N563">
        <v>1E-4</v>
      </c>
    </row>
    <row r="564" spans="1:14" x14ac:dyDescent="0.35">
      <c r="A564" s="1">
        <v>45657</v>
      </c>
      <c r="B564" t="s">
        <v>14</v>
      </c>
      <c r="C564" t="s">
        <v>15</v>
      </c>
      <c r="D564" t="s">
        <v>81</v>
      </c>
      <c r="E564">
        <v>1</v>
      </c>
      <c r="F564" t="s">
        <v>820</v>
      </c>
      <c r="H564">
        <v>6121176</v>
      </c>
      <c r="I564" t="str">
        <f>IF(ISBLANK(H564),"",INDEX(Sheet1!$F$2:$F$936,MATCH(H564,Sheet1!$C$2:$C$936,0)))</f>
        <v>Australia</v>
      </c>
      <c r="J564">
        <v>630405</v>
      </c>
      <c r="M564">
        <v>4053506.09</v>
      </c>
      <c r="N564">
        <v>5.9999999999999995E-4</v>
      </c>
    </row>
    <row r="565" spans="1:14" x14ac:dyDescent="0.35">
      <c r="A565" s="1">
        <v>45657</v>
      </c>
      <c r="B565" t="s">
        <v>14</v>
      </c>
      <c r="C565" t="s">
        <v>15</v>
      </c>
      <c r="D565" t="s">
        <v>81</v>
      </c>
      <c r="E565">
        <v>1</v>
      </c>
      <c r="F565" t="s">
        <v>821</v>
      </c>
      <c r="H565">
        <v>6551160</v>
      </c>
      <c r="I565" t="str">
        <f>IF(ISBLANK(H565),"",INDEX(Sheet1!$F$2:$F$936,MATCH(H565,Sheet1!$C$2:$C$936,0)))</f>
        <v>AUD</v>
      </c>
      <c r="J565">
        <v>7578631</v>
      </c>
      <c r="M565">
        <v>2614627.6690000002</v>
      </c>
      <c r="N565">
        <v>4.0000000000000002E-4</v>
      </c>
    </row>
    <row r="566" spans="1:14" x14ac:dyDescent="0.35">
      <c r="A566" s="1">
        <v>45657</v>
      </c>
      <c r="B566" t="s">
        <v>14</v>
      </c>
      <c r="C566" t="s">
        <v>15</v>
      </c>
      <c r="D566" t="s">
        <v>81</v>
      </c>
      <c r="E566">
        <v>1</v>
      </c>
      <c r="F566" t="s">
        <v>822</v>
      </c>
      <c r="H566" t="s">
        <v>823</v>
      </c>
      <c r="I566" t="str">
        <f>IF(ISBLANK(H566),"",INDEX(Sheet1!$F$2:$F$936,MATCH(H566,Sheet1!$C$2:$C$936,0)))</f>
        <v>Australia</v>
      </c>
      <c r="J566">
        <v>261103</v>
      </c>
      <c r="M566">
        <v>57873480.590000004</v>
      </c>
      <c r="N566">
        <v>8.0000000000000002E-3</v>
      </c>
    </row>
    <row r="567" spans="1:14" x14ac:dyDescent="0.35">
      <c r="A567" s="1">
        <v>45657</v>
      </c>
      <c r="B567" t="s">
        <v>14</v>
      </c>
      <c r="C567" t="s">
        <v>15</v>
      </c>
      <c r="D567" t="s">
        <v>81</v>
      </c>
      <c r="E567">
        <v>1</v>
      </c>
      <c r="F567" t="s">
        <v>824</v>
      </c>
      <c r="H567" t="s">
        <v>825</v>
      </c>
      <c r="I567" t="str">
        <f>IF(ISBLANK(H567),"",INDEX(Sheet1!$F$2:$F$936,MATCH(H567,Sheet1!$C$2:$C$936,0)))</f>
        <v>AUD</v>
      </c>
      <c r="J567">
        <v>40347</v>
      </c>
      <c r="M567">
        <v>242079.51139999999</v>
      </c>
      <c r="N567">
        <v>0</v>
      </c>
    </row>
    <row r="568" spans="1:14" x14ac:dyDescent="0.35">
      <c r="A568" s="1">
        <v>45657</v>
      </c>
      <c r="B568" t="s">
        <v>14</v>
      </c>
      <c r="C568" t="s">
        <v>15</v>
      </c>
      <c r="D568" t="s">
        <v>81</v>
      </c>
      <c r="E568">
        <v>1</v>
      </c>
      <c r="F568" t="s">
        <v>826</v>
      </c>
      <c r="H568" t="s">
        <v>827</v>
      </c>
      <c r="I568" t="str">
        <f>IF(ISBLANK(H568),"",INDEX(Sheet1!$F$2:$F$936,MATCH(H568,Sheet1!$C$2:$C$936,0)))</f>
        <v>AUD</v>
      </c>
      <c r="J568">
        <v>415782</v>
      </c>
      <c r="M568">
        <v>4623495.0429999996</v>
      </c>
      <c r="N568">
        <v>5.9999999999999995E-4</v>
      </c>
    </row>
    <row r="569" spans="1:14" x14ac:dyDescent="0.35">
      <c r="A569" s="1">
        <v>45657</v>
      </c>
      <c r="B569" t="s">
        <v>14</v>
      </c>
      <c r="C569" t="s">
        <v>15</v>
      </c>
      <c r="D569" t="s">
        <v>81</v>
      </c>
      <c r="E569">
        <v>1</v>
      </c>
      <c r="F569" t="s">
        <v>828</v>
      </c>
      <c r="H569">
        <v>6100186</v>
      </c>
      <c r="I569" t="str">
        <f>IF(ISBLANK(H569),"",INDEX(Sheet1!$F$2:$F$936,MATCH(H569,Sheet1!$C$2:$C$936,0)))</f>
        <v>INR</v>
      </c>
      <c r="J569">
        <v>30312</v>
      </c>
      <c r="M569">
        <v>1720087.078</v>
      </c>
      <c r="N569">
        <v>2.0000000000000001E-4</v>
      </c>
    </row>
    <row r="570" spans="1:14" x14ac:dyDescent="0.35">
      <c r="A570" s="1">
        <v>45657</v>
      </c>
      <c r="B570" t="s">
        <v>14</v>
      </c>
      <c r="C570" t="s">
        <v>15</v>
      </c>
      <c r="D570" t="s">
        <v>81</v>
      </c>
      <c r="E570">
        <v>1</v>
      </c>
      <c r="F570" t="s">
        <v>829</v>
      </c>
      <c r="H570">
        <v>6556325</v>
      </c>
      <c r="I570" t="str">
        <f>IF(ISBLANK(H570),"",INDEX(Sheet1!$F$2:$F$936,MATCH(H570,Sheet1!$C$2:$C$936,0)))</f>
        <v>MYR</v>
      </c>
      <c r="J570">
        <v>392044</v>
      </c>
      <c r="M570">
        <v>1447227.3</v>
      </c>
      <c r="N570">
        <v>2.0000000000000001E-4</v>
      </c>
    </row>
    <row r="571" spans="1:14" x14ac:dyDescent="0.35">
      <c r="A571" s="1">
        <v>45657</v>
      </c>
      <c r="B571" t="s">
        <v>14</v>
      </c>
      <c r="C571" t="s">
        <v>15</v>
      </c>
      <c r="D571" t="s">
        <v>81</v>
      </c>
      <c r="E571">
        <v>1</v>
      </c>
      <c r="F571" t="s">
        <v>830</v>
      </c>
      <c r="H571">
        <v>2492519</v>
      </c>
      <c r="I571" t="str">
        <f>IF(ISBLANK(H571),"",INDEX(Sheet1!$F$2:$F$936,MATCH(H571,Sheet1!$C$2:$C$936,0)))</f>
        <v>Canada</v>
      </c>
      <c r="J571">
        <v>18427</v>
      </c>
      <c r="M571">
        <v>913029.44169999997</v>
      </c>
      <c r="N571">
        <v>1E-4</v>
      </c>
    </row>
    <row r="572" spans="1:14" x14ac:dyDescent="0.35">
      <c r="A572" s="1">
        <v>45657</v>
      </c>
      <c r="B572" t="s">
        <v>14</v>
      </c>
      <c r="C572" t="s">
        <v>15</v>
      </c>
      <c r="D572" t="s">
        <v>81</v>
      </c>
      <c r="E572">
        <v>1</v>
      </c>
      <c r="F572" t="s">
        <v>831</v>
      </c>
      <c r="H572" t="s">
        <v>832</v>
      </c>
      <c r="I572" t="str">
        <f>IF(ISBLANK(H572),"",INDEX(Sheet1!$F$2:$F$936,MATCH(H572,Sheet1!$C$2:$C$936,0)))</f>
        <v>United States</v>
      </c>
      <c r="J572">
        <v>7902</v>
      </c>
      <c r="M572">
        <v>1780675.5190000001</v>
      </c>
      <c r="N572">
        <v>2.0000000000000001E-4</v>
      </c>
    </row>
    <row r="573" spans="1:14" x14ac:dyDescent="0.35">
      <c r="A573" s="1">
        <v>45657</v>
      </c>
      <c r="B573" t="s">
        <v>14</v>
      </c>
      <c r="C573" t="s">
        <v>15</v>
      </c>
      <c r="D573" t="s">
        <v>81</v>
      </c>
      <c r="E573">
        <v>1</v>
      </c>
      <c r="F573" t="s">
        <v>833</v>
      </c>
      <c r="H573">
        <v>6569464</v>
      </c>
      <c r="I573" t="str">
        <f>IF(ISBLANK(H573),"",INDEX(Sheet1!$F$2:$F$936,MATCH(H573,Sheet1!$C$2:$C$936,0)))</f>
        <v>Japan</v>
      </c>
      <c r="J573">
        <v>6708</v>
      </c>
      <c r="M573">
        <v>164866.10879999999</v>
      </c>
      <c r="N573">
        <v>0</v>
      </c>
    </row>
    <row r="574" spans="1:14" x14ac:dyDescent="0.35">
      <c r="A574" s="1">
        <v>45657</v>
      </c>
      <c r="B574" t="s">
        <v>14</v>
      </c>
      <c r="C574" t="s">
        <v>15</v>
      </c>
      <c r="D574" t="s">
        <v>81</v>
      </c>
      <c r="E574">
        <v>1</v>
      </c>
      <c r="F574" t="s">
        <v>834</v>
      </c>
      <c r="H574" t="s">
        <v>835</v>
      </c>
      <c r="I574" t="str">
        <f>IF(ISBLANK(H574),"",INDEX(Sheet1!$F$2:$F$936,MATCH(H574,Sheet1!$C$2:$C$936,0)))</f>
        <v>Bermuda</v>
      </c>
      <c r="J574">
        <v>20142</v>
      </c>
      <c r="M574">
        <v>3593084.9730000002</v>
      </c>
      <c r="N574">
        <v>5.0000000000000001E-4</v>
      </c>
    </row>
    <row r="575" spans="1:14" x14ac:dyDescent="0.35">
      <c r="A575" s="1">
        <v>45657</v>
      </c>
      <c r="B575" t="s">
        <v>14</v>
      </c>
      <c r="C575" t="s">
        <v>15</v>
      </c>
      <c r="D575" t="s">
        <v>81</v>
      </c>
      <c r="E575">
        <v>1</v>
      </c>
      <c r="F575" t="s">
        <v>836</v>
      </c>
      <c r="H575">
        <v>2570200</v>
      </c>
      <c r="I575" t="str">
        <f>IF(ISBLANK(H575),"",INDEX(Sheet1!$F$2:$F$936,MATCH(H575,Sheet1!$C$2:$C$936,0)))</f>
        <v>United States</v>
      </c>
      <c r="J575">
        <v>24461</v>
      </c>
      <c r="M575">
        <v>2867074.3790000002</v>
      </c>
      <c r="N575">
        <v>4.0000000000000002E-4</v>
      </c>
    </row>
    <row r="576" spans="1:14" x14ac:dyDescent="0.35">
      <c r="A576" s="1">
        <v>45657</v>
      </c>
      <c r="B576" t="s">
        <v>14</v>
      </c>
      <c r="C576" t="s">
        <v>15</v>
      </c>
      <c r="D576" t="s">
        <v>81</v>
      </c>
      <c r="E576">
        <v>1</v>
      </c>
      <c r="F576" t="s">
        <v>837</v>
      </c>
      <c r="H576" t="s">
        <v>838</v>
      </c>
      <c r="I576" t="str">
        <f>IF(ISBLANK(H576),"",INDEX(Sheet1!$F$2:$F$936,MATCH(H576,Sheet1!$C$2:$C$936,0)))</f>
        <v>United States</v>
      </c>
      <c r="J576">
        <v>10905</v>
      </c>
      <c r="M576">
        <v>9284900.1109999996</v>
      </c>
      <c r="N576">
        <v>1.2999999999999999E-3</v>
      </c>
    </row>
    <row r="577" spans="1:14" x14ac:dyDescent="0.35">
      <c r="A577" s="1">
        <v>45657</v>
      </c>
      <c r="B577" t="s">
        <v>14</v>
      </c>
      <c r="C577" t="s">
        <v>15</v>
      </c>
      <c r="D577" t="s">
        <v>81</v>
      </c>
      <c r="E577">
        <v>1</v>
      </c>
      <c r="F577" t="s">
        <v>839</v>
      </c>
      <c r="H577" t="s">
        <v>840</v>
      </c>
      <c r="I577" t="str">
        <f>IF(ISBLANK(H577),"",INDEX(Sheet1!$F$2:$F$936,MATCH(H577,Sheet1!$C$2:$C$936,0)))</f>
        <v>United States</v>
      </c>
      <c r="J577">
        <v>9552</v>
      </c>
      <c r="M577">
        <v>504808.09820000001</v>
      </c>
      <c r="N577">
        <v>1E-4</v>
      </c>
    </row>
    <row r="578" spans="1:14" x14ac:dyDescent="0.35">
      <c r="A578" s="1">
        <v>45657</v>
      </c>
      <c r="B578" t="s">
        <v>14</v>
      </c>
      <c r="C578" t="s">
        <v>15</v>
      </c>
      <c r="D578" t="s">
        <v>81</v>
      </c>
      <c r="E578">
        <v>1</v>
      </c>
      <c r="F578" t="s">
        <v>841</v>
      </c>
      <c r="H578" t="s">
        <v>842</v>
      </c>
      <c r="I578" t="str">
        <f>IF(ISBLANK(H578),"",INDEX(Sheet1!$F$2:$F$936,MATCH(H578,Sheet1!$C$2:$C$936,0)))</f>
        <v>AUD</v>
      </c>
      <c r="J578">
        <v>115640</v>
      </c>
      <c r="M578">
        <v>566634.68729999999</v>
      </c>
      <c r="N578">
        <v>1E-4</v>
      </c>
    </row>
    <row r="579" spans="1:14" x14ac:dyDescent="0.35">
      <c r="A579" s="1">
        <v>45657</v>
      </c>
      <c r="B579" t="s">
        <v>14</v>
      </c>
      <c r="C579" t="s">
        <v>15</v>
      </c>
      <c r="D579" t="s">
        <v>81</v>
      </c>
      <c r="E579">
        <v>1</v>
      </c>
      <c r="F579" t="s">
        <v>843</v>
      </c>
      <c r="H579">
        <v>2550161</v>
      </c>
      <c r="I579" t="str">
        <f>IF(ISBLANK(H579),"",INDEX(Sheet1!$F$2:$F$936,MATCH(H579,Sheet1!$C$2:$C$936,0)))</f>
        <v>United States</v>
      </c>
      <c r="J579">
        <v>27434</v>
      </c>
      <c r="M579">
        <v>3378541.4410000001</v>
      </c>
      <c r="N579">
        <v>5.0000000000000001E-4</v>
      </c>
    </row>
    <row r="580" spans="1:14" x14ac:dyDescent="0.35">
      <c r="A580" s="1">
        <v>45657</v>
      </c>
      <c r="B580" t="s">
        <v>14</v>
      </c>
      <c r="C580" t="s">
        <v>15</v>
      </c>
      <c r="D580" t="s">
        <v>81</v>
      </c>
      <c r="E580">
        <v>1</v>
      </c>
      <c r="F580" t="s">
        <v>844</v>
      </c>
      <c r="H580">
        <v>2550707</v>
      </c>
      <c r="I580" t="str">
        <f>IF(ISBLANK(H580),"",INDEX(Sheet1!$F$2:$F$936,MATCH(H580,Sheet1!$C$2:$C$936,0)))</f>
        <v>United States</v>
      </c>
      <c r="J580">
        <v>3467</v>
      </c>
      <c r="M580">
        <v>1623368.909</v>
      </c>
      <c r="N580">
        <v>2.0000000000000001E-4</v>
      </c>
    </row>
    <row r="581" spans="1:14" x14ac:dyDescent="0.35">
      <c r="A581" s="1">
        <v>45657</v>
      </c>
      <c r="B581" t="s">
        <v>14</v>
      </c>
      <c r="C581" t="s">
        <v>15</v>
      </c>
      <c r="D581" t="s">
        <v>81</v>
      </c>
      <c r="E581">
        <v>1</v>
      </c>
      <c r="F581" t="s">
        <v>845</v>
      </c>
      <c r="H581">
        <v>2378534</v>
      </c>
      <c r="I581" t="str">
        <f>IF(ISBLANK(H581),"",INDEX(Sheet1!$F$2:$F$936,MATCH(H581,Sheet1!$C$2:$C$936,0)))</f>
        <v>United States</v>
      </c>
      <c r="J581">
        <v>463</v>
      </c>
      <c r="M581">
        <v>426032.076</v>
      </c>
      <c r="N581">
        <v>1E-4</v>
      </c>
    </row>
    <row r="582" spans="1:14" x14ac:dyDescent="0.35">
      <c r="A582" s="1">
        <v>45657</v>
      </c>
      <c r="B582" t="s">
        <v>14</v>
      </c>
      <c r="C582" t="s">
        <v>15</v>
      </c>
      <c r="D582" t="s">
        <v>81</v>
      </c>
      <c r="E582">
        <v>1</v>
      </c>
      <c r="F582" t="s">
        <v>846</v>
      </c>
      <c r="H582" t="s">
        <v>847</v>
      </c>
      <c r="I582" t="str">
        <f>IF(ISBLANK(H582),"",INDEX(Sheet1!$F$2:$F$936,MATCH(H582,Sheet1!$C$2:$C$936,0)))</f>
        <v>AUD</v>
      </c>
      <c r="J582">
        <v>78086</v>
      </c>
      <c r="M582">
        <v>1171289.6510000001</v>
      </c>
      <c r="N582">
        <v>2.0000000000000001E-4</v>
      </c>
    </row>
    <row r="583" spans="1:14" x14ac:dyDescent="0.35">
      <c r="A583" s="1">
        <v>45657</v>
      </c>
      <c r="B583" t="s">
        <v>14</v>
      </c>
      <c r="C583" t="s">
        <v>15</v>
      </c>
      <c r="D583" t="s">
        <v>81</v>
      </c>
      <c r="E583">
        <v>1</v>
      </c>
      <c r="F583" t="s">
        <v>848</v>
      </c>
      <c r="H583">
        <v>6372480</v>
      </c>
      <c r="I583" t="str">
        <f>IF(ISBLANK(H583),"",INDEX(Sheet1!$F$2:$F$936,MATCH(H583,Sheet1!$C$2:$C$936,0)))</f>
        <v>Taiwan</v>
      </c>
      <c r="J583">
        <v>41998</v>
      </c>
      <c r="M583">
        <v>2927693.182</v>
      </c>
      <c r="N583">
        <v>4.0000000000000002E-4</v>
      </c>
    </row>
    <row r="584" spans="1:14" x14ac:dyDescent="0.35">
      <c r="A584" s="1">
        <v>45657</v>
      </c>
      <c r="B584" t="s">
        <v>14</v>
      </c>
      <c r="C584" t="s">
        <v>15</v>
      </c>
      <c r="D584" t="s">
        <v>81</v>
      </c>
      <c r="E584">
        <v>1</v>
      </c>
      <c r="F584" t="s">
        <v>849</v>
      </c>
      <c r="H584" t="s">
        <v>850</v>
      </c>
      <c r="I584" t="str">
        <f>IF(ISBLANK(H584),"",INDEX(Sheet1!$F$2:$F$936,MATCH(H584,Sheet1!$C$2:$C$936,0)))</f>
        <v>Australia</v>
      </c>
      <c r="J584">
        <v>4246505</v>
      </c>
      <c r="M584">
        <v>16094252.93</v>
      </c>
      <c r="N584">
        <v>2.2000000000000001E-3</v>
      </c>
    </row>
    <row r="585" spans="1:14" x14ac:dyDescent="0.35">
      <c r="A585" s="1">
        <v>45657</v>
      </c>
      <c r="B585" t="s">
        <v>14</v>
      </c>
      <c r="C585" t="s">
        <v>15</v>
      </c>
      <c r="D585" t="s">
        <v>81</v>
      </c>
      <c r="E585">
        <v>1</v>
      </c>
      <c r="F585" t="s">
        <v>851</v>
      </c>
      <c r="H585" t="s">
        <v>852</v>
      </c>
      <c r="I585" t="str">
        <f>IF(ISBLANK(H585),"",INDEX(Sheet1!$F$2:$F$936,MATCH(H585,Sheet1!$C$2:$C$936,0)))</f>
        <v>United States</v>
      </c>
      <c r="J585">
        <v>35471</v>
      </c>
      <c r="M585">
        <v>4576912.5460000001</v>
      </c>
      <c r="N585">
        <v>5.9999999999999995E-4</v>
      </c>
    </row>
    <row r="586" spans="1:14" x14ac:dyDescent="0.35">
      <c r="A586" s="1">
        <v>45657</v>
      </c>
      <c r="B586" t="s">
        <v>14</v>
      </c>
      <c r="C586" t="s">
        <v>15</v>
      </c>
      <c r="D586" t="s">
        <v>81</v>
      </c>
      <c r="E586">
        <v>1</v>
      </c>
      <c r="F586" t="s">
        <v>853</v>
      </c>
      <c r="H586" t="s">
        <v>854</v>
      </c>
      <c r="I586" t="str">
        <f>IF(ISBLANK(H586),"",INDEX(Sheet1!$F$2:$F$936,MATCH(H586,Sheet1!$C$2:$C$936,0)))</f>
        <v>China</v>
      </c>
      <c r="J586">
        <v>187138</v>
      </c>
      <c r="M586">
        <v>5902610.3059999999</v>
      </c>
      <c r="N586">
        <v>8.0000000000000004E-4</v>
      </c>
    </row>
    <row r="587" spans="1:14" x14ac:dyDescent="0.35">
      <c r="A587" s="1">
        <v>45657</v>
      </c>
      <c r="B587" t="s">
        <v>14</v>
      </c>
      <c r="C587" t="s">
        <v>15</v>
      </c>
      <c r="D587" t="s">
        <v>81</v>
      </c>
      <c r="E587">
        <v>1</v>
      </c>
      <c r="F587" t="s">
        <v>855</v>
      </c>
      <c r="H587" t="s">
        <v>856</v>
      </c>
      <c r="I587" t="str">
        <f>IF(ISBLANK(H587),"",INDEX(Sheet1!$F$2:$F$936,MATCH(H587,Sheet1!$C$2:$C$936,0)))</f>
        <v>United States</v>
      </c>
      <c r="J587">
        <v>3080</v>
      </c>
      <c r="M587">
        <v>8458136.1380000003</v>
      </c>
      <c r="N587">
        <v>1.1999999999999999E-3</v>
      </c>
    </row>
    <row r="588" spans="1:14" x14ac:dyDescent="0.35">
      <c r="A588" s="1">
        <v>45657</v>
      </c>
      <c r="B588" t="s">
        <v>14</v>
      </c>
      <c r="C588" t="s">
        <v>15</v>
      </c>
      <c r="D588" t="s">
        <v>81</v>
      </c>
      <c r="E588">
        <v>1</v>
      </c>
      <c r="F588" t="s">
        <v>857</v>
      </c>
      <c r="H588">
        <v>2778844</v>
      </c>
      <c r="I588" t="str">
        <f>IF(ISBLANK(H588),"",INDEX(Sheet1!$F$2:$F$936,MATCH(H588,Sheet1!$C$2:$C$936,0)))</f>
        <v>United States</v>
      </c>
      <c r="J588">
        <v>18786</v>
      </c>
      <c r="M588">
        <v>3018616.3769999999</v>
      </c>
      <c r="N588">
        <v>4.0000000000000002E-4</v>
      </c>
    </row>
    <row r="589" spans="1:14" x14ac:dyDescent="0.35">
      <c r="A589" s="1">
        <v>45657</v>
      </c>
      <c r="B589" t="s">
        <v>14</v>
      </c>
      <c r="C589" t="s">
        <v>15</v>
      </c>
      <c r="D589" t="s">
        <v>81</v>
      </c>
      <c r="E589">
        <v>1</v>
      </c>
      <c r="F589" t="s">
        <v>858</v>
      </c>
      <c r="H589" t="s">
        <v>859</v>
      </c>
      <c r="I589" t="str">
        <f>IF(ISBLANK(H589),"",INDEX(Sheet1!$F$2:$F$936,MATCH(H589,Sheet1!$C$2:$C$936,0)))</f>
        <v>New Zealand</v>
      </c>
      <c r="J589">
        <v>64760</v>
      </c>
      <c r="M589">
        <v>346321.67509999999</v>
      </c>
      <c r="N589">
        <v>0</v>
      </c>
    </row>
    <row r="590" spans="1:14" x14ac:dyDescent="0.35">
      <c r="A590" s="1">
        <v>45657</v>
      </c>
      <c r="B590" t="s">
        <v>14</v>
      </c>
      <c r="C590" t="s">
        <v>15</v>
      </c>
      <c r="D590" t="s">
        <v>81</v>
      </c>
      <c r="E590">
        <v>1</v>
      </c>
      <c r="F590" t="s">
        <v>860</v>
      </c>
      <c r="H590" t="s">
        <v>861</v>
      </c>
      <c r="I590" t="str">
        <f>IF(ISBLANK(H590),"",INDEX(Sheet1!$F$2:$F$936,MATCH(H590,Sheet1!$C$2:$C$936,0)))</f>
        <v>KRW</v>
      </c>
      <c r="J590">
        <v>3825</v>
      </c>
      <c r="M590">
        <v>435987.31959999999</v>
      </c>
      <c r="N590">
        <v>1E-4</v>
      </c>
    </row>
    <row r="591" spans="1:14" x14ac:dyDescent="0.35">
      <c r="A591" s="1">
        <v>45657</v>
      </c>
      <c r="B591" t="s">
        <v>14</v>
      </c>
      <c r="C591" t="s">
        <v>15</v>
      </c>
      <c r="D591" t="s">
        <v>81</v>
      </c>
      <c r="E591">
        <v>1</v>
      </c>
      <c r="F591" t="s">
        <v>862</v>
      </c>
      <c r="H591" t="s">
        <v>863</v>
      </c>
      <c r="I591" t="str">
        <f>IF(ISBLANK(H591),"",INDEX(Sheet1!$F$2:$F$936,MATCH(H591,Sheet1!$C$2:$C$936,0)))</f>
        <v>AUD</v>
      </c>
      <c r="J591">
        <v>205697</v>
      </c>
      <c r="M591">
        <v>637660.79890000005</v>
      </c>
      <c r="N591">
        <v>1E-4</v>
      </c>
    </row>
    <row r="592" spans="1:14" x14ac:dyDescent="0.35">
      <c r="A592" s="1">
        <v>45657</v>
      </c>
      <c r="B592" t="s">
        <v>14</v>
      </c>
      <c r="C592" t="s">
        <v>15</v>
      </c>
      <c r="D592" t="s">
        <v>81</v>
      </c>
      <c r="E592">
        <v>1</v>
      </c>
      <c r="F592" t="s">
        <v>864</v>
      </c>
      <c r="H592" t="s">
        <v>865</v>
      </c>
      <c r="I592" t="str">
        <f>IF(ISBLANK(H592),"",INDEX(Sheet1!$F$2:$F$936,MATCH(H592,Sheet1!$C$2:$C$936,0)))</f>
        <v>United States</v>
      </c>
      <c r="J592">
        <v>61928</v>
      </c>
      <c r="M592">
        <v>58566208.020000003</v>
      </c>
      <c r="N592">
        <v>8.0999999999999909E-3</v>
      </c>
    </row>
    <row r="593" spans="1:14" x14ac:dyDescent="0.35">
      <c r="A593" s="1">
        <v>45657</v>
      </c>
      <c r="B593" t="s">
        <v>14</v>
      </c>
      <c r="C593" t="s">
        <v>15</v>
      </c>
      <c r="D593" t="s">
        <v>81</v>
      </c>
      <c r="E593">
        <v>1</v>
      </c>
      <c r="F593" t="s">
        <v>866</v>
      </c>
      <c r="H593" t="s">
        <v>867</v>
      </c>
      <c r="I593" t="str">
        <f>IF(ISBLANK(H593),"",INDEX(Sheet1!$F$2:$F$936,MATCH(H593,Sheet1!$C$2:$C$936,0)))</f>
        <v>Australia</v>
      </c>
      <c r="J593">
        <v>572891</v>
      </c>
      <c r="M593">
        <v>1775961.443</v>
      </c>
      <c r="N593">
        <v>2.0000000000000001E-4</v>
      </c>
    </row>
    <row r="594" spans="1:14" x14ac:dyDescent="0.35">
      <c r="A594" s="1">
        <v>45657</v>
      </c>
      <c r="B594" t="s">
        <v>14</v>
      </c>
      <c r="C594" t="s">
        <v>15</v>
      </c>
      <c r="D594" t="s">
        <v>81</v>
      </c>
      <c r="E594">
        <v>1</v>
      </c>
      <c r="F594" t="s">
        <v>868</v>
      </c>
      <c r="H594">
        <v>6514442</v>
      </c>
      <c r="I594" t="str">
        <f>IF(ISBLANK(H594),"",INDEX(Sheet1!$F$2:$F$936,MATCH(H594,Sheet1!$C$2:$C$936,0)))</f>
        <v>PHP</v>
      </c>
      <c r="J594">
        <v>130277</v>
      </c>
      <c r="M594">
        <v>261901.73389999999</v>
      </c>
      <c r="N594">
        <v>0</v>
      </c>
    </row>
    <row r="595" spans="1:14" x14ac:dyDescent="0.35">
      <c r="A595" s="1">
        <v>45657</v>
      </c>
      <c r="B595" t="s">
        <v>14</v>
      </c>
      <c r="C595" t="s">
        <v>15</v>
      </c>
      <c r="D595" t="s">
        <v>81</v>
      </c>
      <c r="E595">
        <v>1</v>
      </c>
      <c r="F595" t="s">
        <v>869</v>
      </c>
      <c r="H595">
        <v>2126249</v>
      </c>
      <c r="I595" t="str">
        <f>IF(ISBLANK(H595),"",INDEX(Sheet1!$F$2:$F$936,MATCH(H595,Sheet1!$C$2:$C$936,0)))</f>
        <v>United States</v>
      </c>
      <c r="J595">
        <v>1034</v>
      </c>
      <c r="M595">
        <v>2044019.9650000001</v>
      </c>
      <c r="N595">
        <v>2.9999999999999997E-4</v>
      </c>
    </row>
    <row r="596" spans="1:14" x14ac:dyDescent="0.35">
      <c r="A596" s="1">
        <v>45657</v>
      </c>
      <c r="B596" t="s">
        <v>14</v>
      </c>
      <c r="C596" t="s">
        <v>15</v>
      </c>
      <c r="D596" t="s">
        <v>81</v>
      </c>
      <c r="E596">
        <v>1</v>
      </c>
      <c r="F596" t="s">
        <v>870</v>
      </c>
      <c r="H596">
        <v>2588173</v>
      </c>
      <c r="I596" t="str">
        <f>IF(ISBLANK(H596),"",INDEX(Sheet1!$F$2:$F$936,MATCH(H596,Sheet1!$C$2:$C$936,0)))</f>
        <v>United States</v>
      </c>
      <c r="J596">
        <v>125187</v>
      </c>
      <c r="M596">
        <v>85179282.239999995</v>
      </c>
      <c r="N596">
        <v>1.18E-2</v>
      </c>
    </row>
    <row r="597" spans="1:14" x14ac:dyDescent="0.35">
      <c r="A597" s="1">
        <v>45657</v>
      </c>
      <c r="B597" t="s">
        <v>14</v>
      </c>
      <c r="C597" t="s">
        <v>15</v>
      </c>
      <c r="D597" t="s">
        <v>81</v>
      </c>
      <c r="E597">
        <v>1</v>
      </c>
      <c r="F597" t="s">
        <v>871</v>
      </c>
      <c r="H597" t="s">
        <v>872</v>
      </c>
      <c r="I597" t="str">
        <f>IF(ISBLANK(H597),"",INDEX(Sheet1!$F$2:$F$936,MATCH(H597,Sheet1!$C$2:$C$936,0)))</f>
        <v>CNY</v>
      </c>
      <c r="J597">
        <v>10733</v>
      </c>
      <c r="M597">
        <v>178639.74909999999</v>
      </c>
      <c r="N597">
        <v>0</v>
      </c>
    </row>
    <row r="598" spans="1:14" x14ac:dyDescent="0.35">
      <c r="A598" s="1">
        <v>45657</v>
      </c>
      <c r="B598" t="s">
        <v>14</v>
      </c>
      <c r="C598" t="s">
        <v>15</v>
      </c>
      <c r="D598" t="s">
        <v>81</v>
      </c>
      <c r="E598">
        <v>1</v>
      </c>
      <c r="F598" t="s">
        <v>873</v>
      </c>
      <c r="H598" t="s">
        <v>874</v>
      </c>
      <c r="I598" t="str">
        <f>IF(ISBLANK(H598),"",INDEX(Sheet1!$F$2:$F$936,MATCH(H598,Sheet1!$C$2:$C$936,0)))</f>
        <v>Australia</v>
      </c>
      <c r="J598">
        <v>183956</v>
      </c>
      <c r="M598">
        <v>6300479.9560000002</v>
      </c>
      <c r="N598">
        <v>8.9999999999999998E-4</v>
      </c>
    </row>
    <row r="599" spans="1:14" x14ac:dyDescent="0.35">
      <c r="A599" s="1">
        <v>45657</v>
      </c>
      <c r="B599" t="s">
        <v>14</v>
      </c>
      <c r="C599" t="s">
        <v>15</v>
      </c>
      <c r="D599" t="s">
        <v>81</v>
      </c>
      <c r="E599">
        <v>1</v>
      </c>
      <c r="F599" t="s">
        <v>875</v>
      </c>
      <c r="H599">
        <v>6249658</v>
      </c>
      <c r="I599" t="str">
        <f>IF(ISBLANK(H599),"",INDEX(Sheet1!$F$2:$F$936,MATCH(H599,Sheet1!$C$2:$C$936,0)))</f>
        <v>KRW</v>
      </c>
      <c r="J599">
        <v>37155</v>
      </c>
      <c r="M599">
        <v>327326.24709999998</v>
      </c>
      <c r="N599">
        <v>0</v>
      </c>
    </row>
    <row r="600" spans="1:14" x14ac:dyDescent="0.35">
      <c r="A600" s="1">
        <v>45657</v>
      </c>
      <c r="B600" t="s">
        <v>14</v>
      </c>
      <c r="C600" t="s">
        <v>15</v>
      </c>
      <c r="D600" t="s">
        <v>81</v>
      </c>
      <c r="E600">
        <v>1</v>
      </c>
      <c r="F600" t="s">
        <v>876</v>
      </c>
      <c r="H600">
        <v>6597045</v>
      </c>
      <c r="I600" t="str">
        <f>IF(ISBLANK(H600),"",INDEX(Sheet1!$F$2:$F$936,MATCH(H600,Sheet1!$C$2:$C$936,0)))</f>
        <v>Japan</v>
      </c>
      <c r="J600">
        <v>124129</v>
      </c>
      <c r="M600">
        <v>3422594.6379999998</v>
      </c>
      <c r="N600">
        <v>5.0000000000000001E-4</v>
      </c>
    </row>
    <row r="601" spans="1:14" x14ac:dyDescent="0.35">
      <c r="A601" s="1">
        <v>45657</v>
      </c>
      <c r="B601" t="s">
        <v>14</v>
      </c>
      <c r="C601" t="s">
        <v>15</v>
      </c>
      <c r="D601" t="s">
        <v>81</v>
      </c>
      <c r="E601">
        <v>1</v>
      </c>
      <c r="F601" t="s">
        <v>877</v>
      </c>
      <c r="H601">
        <v>6596729</v>
      </c>
      <c r="I601" t="str">
        <f>IF(ISBLANK(H601),"",INDEX(Sheet1!$F$2:$F$936,MATCH(H601,Sheet1!$C$2:$C$936,0)))</f>
        <v>Japan</v>
      </c>
      <c r="J601">
        <v>20999</v>
      </c>
      <c r="M601">
        <v>474020.23229999997</v>
      </c>
      <c r="N601">
        <v>1E-4</v>
      </c>
    </row>
    <row r="602" spans="1:14" x14ac:dyDescent="0.35">
      <c r="A602" s="1">
        <v>45657</v>
      </c>
      <c r="B602" t="s">
        <v>14</v>
      </c>
      <c r="C602" t="s">
        <v>15</v>
      </c>
      <c r="D602" t="s">
        <v>81</v>
      </c>
      <c r="E602">
        <v>1</v>
      </c>
      <c r="F602" t="s">
        <v>878</v>
      </c>
      <c r="H602">
        <v>6597302</v>
      </c>
      <c r="I602" t="str">
        <f>IF(ISBLANK(H602),"",INDEX(Sheet1!$F$2:$F$936,MATCH(H602,Sheet1!$C$2:$C$936,0)))</f>
        <v>Japan</v>
      </c>
      <c r="J602">
        <v>123721</v>
      </c>
      <c r="M602">
        <v>4206000.6849999996</v>
      </c>
      <c r="N602">
        <v>5.9999999999999995E-4</v>
      </c>
    </row>
    <row r="603" spans="1:14" x14ac:dyDescent="0.35">
      <c r="A603" s="1">
        <v>45657</v>
      </c>
      <c r="B603" t="s">
        <v>14</v>
      </c>
      <c r="C603" t="s">
        <v>15</v>
      </c>
      <c r="D603" t="s">
        <v>81</v>
      </c>
      <c r="E603">
        <v>1</v>
      </c>
      <c r="F603" t="s">
        <v>879</v>
      </c>
      <c r="H603">
        <v>6597603</v>
      </c>
      <c r="I603" t="str">
        <f>IF(ISBLANK(H603),"",INDEX(Sheet1!$F$2:$F$936,MATCH(H603,Sheet1!$C$2:$C$936,0)))</f>
        <v>Japan</v>
      </c>
      <c r="J603">
        <v>153017</v>
      </c>
      <c r="M603">
        <v>1993984.517</v>
      </c>
      <c r="N603">
        <v>2.9999999999999997E-4</v>
      </c>
    </row>
    <row r="604" spans="1:14" x14ac:dyDescent="0.35">
      <c r="A604" s="1">
        <v>45657</v>
      </c>
      <c r="B604" t="s">
        <v>14</v>
      </c>
      <c r="C604" t="s">
        <v>15</v>
      </c>
      <c r="D604" t="s">
        <v>81</v>
      </c>
      <c r="E604">
        <v>1</v>
      </c>
      <c r="F604" t="s">
        <v>880</v>
      </c>
      <c r="H604" t="s">
        <v>881</v>
      </c>
      <c r="I604" t="str">
        <f>IF(ISBLANK(H604),"",INDEX(Sheet1!$F$2:$F$936,MATCH(H604,Sheet1!$C$2:$C$936,0)))</f>
        <v>United States</v>
      </c>
      <c r="J604">
        <v>16089</v>
      </c>
      <c r="M604">
        <v>1080200.4350000001</v>
      </c>
      <c r="N604">
        <v>2.0000000000000001E-4</v>
      </c>
    </row>
    <row r="605" spans="1:14" x14ac:dyDescent="0.35">
      <c r="A605" s="1">
        <v>45657</v>
      </c>
      <c r="B605" t="s">
        <v>14</v>
      </c>
      <c r="C605" t="s">
        <v>15</v>
      </c>
      <c r="D605" t="s">
        <v>81</v>
      </c>
      <c r="E605">
        <v>1</v>
      </c>
      <c r="F605" t="s">
        <v>882</v>
      </c>
      <c r="H605">
        <v>6600471</v>
      </c>
      <c r="I605" t="str">
        <f>IF(ISBLANK(H605),"",INDEX(Sheet1!$F$2:$F$936,MATCH(H605,Sheet1!$C$2:$C$936,0)))</f>
        <v>AUD</v>
      </c>
      <c r="J605">
        <v>80399</v>
      </c>
      <c r="M605">
        <v>1125589.452</v>
      </c>
      <c r="N605">
        <v>2.0000000000000001E-4</v>
      </c>
    </row>
    <row r="606" spans="1:14" x14ac:dyDescent="0.35">
      <c r="A606" s="1">
        <v>45657</v>
      </c>
      <c r="B606" t="s">
        <v>14</v>
      </c>
      <c r="C606" t="s">
        <v>15</v>
      </c>
      <c r="D606" t="s">
        <v>81</v>
      </c>
      <c r="E606">
        <v>1</v>
      </c>
      <c r="F606" t="s">
        <v>883</v>
      </c>
      <c r="H606" t="s">
        <v>884</v>
      </c>
      <c r="I606" t="str">
        <f>IF(ISBLANK(H606),"",INDEX(Sheet1!$F$2:$F$936,MATCH(H606,Sheet1!$C$2:$C$936,0)))</f>
        <v>AUD</v>
      </c>
      <c r="J606">
        <v>311349</v>
      </c>
      <c r="M606">
        <v>395413.07130000001</v>
      </c>
      <c r="N606">
        <v>1E-4</v>
      </c>
    </row>
    <row r="607" spans="1:14" x14ac:dyDescent="0.35">
      <c r="A607" s="1">
        <v>45657</v>
      </c>
      <c r="B607" t="s">
        <v>14</v>
      </c>
      <c r="C607" t="s">
        <v>15</v>
      </c>
      <c r="D607" t="s">
        <v>81</v>
      </c>
      <c r="E607">
        <v>1</v>
      </c>
      <c r="F607" t="s">
        <v>885</v>
      </c>
      <c r="H607" t="s">
        <v>886</v>
      </c>
      <c r="I607" t="str">
        <f>IF(ISBLANK(H607),"",INDEX(Sheet1!$F$2:$F$936,MATCH(H607,Sheet1!$C$2:$C$936,0)))</f>
        <v>Italy</v>
      </c>
      <c r="J607">
        <v>21026</v>
      </c>
      <c r="M607">
        <v>1792020.952</v>
      </c>
      <c r="N607">
        <v>2.0000000000000001E-4</v>
      </c>
    </row>
    <row r="608" spans="1:14" x14ac:dyDescent="0.35">
      <c r="A608" s="1">
        <v>45657</v>
      </c>
      <c r="B608" t="s">
        <v>14</v>
      </c>
      <c r="C608" t="s">
        <v>15</v>
      </c>
      <c r="D608" t="s">
        <v>81</v>
      </c>
      <c r="E608">
        <v>1</v>
      </c>
      <c r="F608" t="s">
        <v>887</v>
      </c>
      <c r="H608" t="s">
        <v>888</v>
      </c>
      <c r="I608" t="str">
        <f>IF(ISBLANK(H608),"",INDEX(Sheet1!$F$2:$F$936,MATCH(H608,Sheet1!$C$2:$C$936,0)))</f>
        <v>United States</v>
      </c>
      <c r="J608">
        <v>40769</v>
      </c>
      <c r="M608">
        <v>3933011.102</v>
      </c>
      <c r="N608">
        <v>5.0000000000000001E-4</v>
      </c>
    </row>
    <row r="609" spans="1:14" x14ac:dyDescent="0.35">
      <c r="A609" s="1">
        <v>45657</v>
      </c>
      <c r="B609" t="s">
        <v>14</v>
      </c>
      <c r="C609" t="s">
        <v>15</v>
      </c>
      <c r="D609" t="s">
        <v>81</v>
      </c>
      <c r="E609">
        <v>1</v>
      </c>
      <c r="F609" t="s">
        <v>889</v>
      </c>
      <c r="H609" t="s">
        <v>890</v>
      </c>
      <c r="I609" t="str">
        <f>IF(ISBLANK(H609),"",INDEX(Sheet1!$F$2:$F$936,MATCH(H609,Sheet1!$C$2:$C$936,0)))</f>
        <v>CZK</v>
      </c>
      <c r="J609">
        <v>140953</v>
      </c>
      <c r="M609">
        <v>1161126.4099999999</v>
      </c>
      <c r="N609">
        <v>2.0000000000000001E-4</v>
      </c>
    </row>
    <row r="610" spans="1:14" x14ac:dyDescent="0.35">
      <c r="A610" s="1">
        <v>45657</v>
      </c>
      <c r="B610" t="s">
        <v>14</v>
      </c>
      <c r="C610" t="s">
        <v>15</v>
      </c>
      <c r="D610" t="s">
        <v>81</v>
      </c>
      <c r="E610">
        <v>1</v>
      </c>
      <c r="F610" t="s">
        <v>891</v>
      </c>
      <c r="H610">
        <v>2262314</v>
      </c>
      <c r="I610" t="str">
        <f>IF(ISBLANK(H610),"",INDEX(Sheet1!$F$2:$F$936,MATCH(H610,Sheet1!$C$2:$C$936,0)))</f>
        <v>United States</v>
      </c>
      <c r="J610">
        <v>30816</v>
      </c>
      <c r="M610">
        <v>6260213.8619999997</v>
      </c>
      <c r="N610">
        <v>8.9999999999999998E-4</v>
      </c>
    </row>
    <row r="611" spans="1:14" x14ac:dyDescent="0.35">
      <c r="A611" s="1">
        <v>45657</v>
      </c>
      <c r="B611" t="s">
        <v>14</v>
      </c>
      <c r="C611" t="s">
        <v>15</v>
      </c>
      <c r="D611" t="s">
        <v>81</v>
      </c>
      <c r="E611">
        <v>1</v>
      </c>
      <c r="F611" t="s">
        <v>892</v>
      </c>
      <c r="H611" t="s">
        <v>893</v>
      </c>
      <c r="I611" t="str">
        <f>IF(ISBLANK(H611),"",INDEX(Sheet1!$F$2:$F$936,MATCH(H611,Sheet1!$C$2:$C$936,0)))</f>
        <v>United States</v>
      </c>
      <c r="J611">
        <v>5615</v>
      </c>
      <c r="M611">
        <v>4190885.6540000001</v>
      </c>
      <c r="N611">
        <v>5.9999999999999995E-4</v>
      </c>
    </row>
    <row r="612" spans="1:14" x14ac:dyDescent="0.35">
      <c r="A612" s="1">
        <v>45657</v>
      </c>
      <c r="B612" t="s">
        <v>14</v>
      </c>
      <c r="C612" t="s">
        <v>15</v>
      </c>
      <c r="D612" t="s">
        <v>81</v>
      </c>
      <c r="E612">
        <v>1</v>
      </c>
      <c r="F612" t="s">
        <v>894</v>
      </c>
      <c r="H612">
        <v>5294121</v>
      </c>
      <c r="I612" t="str">
        <f>IF(ISBLANK(H612),"",INDEX(Sheet1!$F$2:$F$936,MATCH(H612,Sheet1!$C$2:$C$936,0)))</f>
        <v>Germany</v>
      </c>
      <c r="J612">
        <v>4182</v>
      </c>
      <c r="M612">
        <v>3404587.0490000001</v>
      </c>
      <c r="N612">
        <v>5.0000000000000001E-4</v>
      </c>
    </row>
    <row r="613" spans="1:14" x14ac:dyDescent="0.35">
      <c r="A613" s="1">
        <v>45657</v>
      </c>
      <c r="B613" t="s">
        <v>14</v>
      </c>
      <c r="C613" t="s">
        <v>15</v>
      </c>
      <c r="D613" t="s">
        <v>81</v>
      </c>
      <c r="E613">
        <v>1</v>
      </c>
      <c r="F613" t="s">
        <v>895</v>
      </c>
      <c r="H613" t="s">
        <v>896</v>
      </c>
      <c r="I613" t="str">
        <f>IF(ISBLANK(H613),"",INDEX(Sheet1!$F$2:$F$936,MATCH(H613,Sheet1!$C$2:$C$936,0)))</f>
        <v>INR</v>
      </c>
      <c r="J613">
        <v>35080</v>
      </c>
      <c r="M613">
        <v>1414128.8060000001</v>
      </c>
      <c r="N613">
        <v>2.0000000000000001E-4</v>
      </c>
    </row>
    <row r="614" spans="1:14" x14ac:dyDescent="0.35">
      <c r="A614" s="1">
        <v>45657</v>
      </c>
      <c r="B614" t="s">
        <v>14</v>
      </c>
      <c r="C614" t="s">
        <v>15</v>
      </c>
      <c r="D614" t="s">
        <v>81</v>
      </c>
      <c r="E614">
        <v>1</v>
      </c>
      <c r="F614" t="s">
        <v>897</v>
      </c>
      <c r="H614" t="s">
        <v>898</v>
      </c>
      <c r="I614" t="str">
        <f>IF(ISBLANK(H614),"",INDEX(Sheet1!$F$2:$F$936,MATCH(H614,Sheet1!$C$2:$C$936,0)))</f>
        <v>AUD</v>
      </c>
      <c r="J614">
        <v>2114881</v>
      </c>
      <c r="M614">
        <v>2326368.5690000001</v>
      </c>
      <c r="N614">
        <v>2.9999999999999997E-4</v>
      </c>
    </row>
    <row r="615" spans="1:14" x14ac:dyDescent="0.35">
      <c r="A615" s="1">
        <v>45657</v>
      </c>
      <c r="B615" t="s">
        <v>14</v>
      </c>
      <c r="C615" t="s">
        <v>15</v>
      </c>
      <c r="D615" t="s">
        <v>81</v>
      </c>
      <c r="E615">
        <v>1</v>
      </c>
      <c r="F615" t="s">
        <v>899</v>
      </c>
      <c r="H615" t="s">
        <v>900</v>
      </c>
      <c r="I615" t="str">
        <f>IF(ISBLANK(H615),"",INDEX(Sheet1!$F$2:$F$936,MATCH(H615,Sheet1!$C$2:$C$936,0)))</f>
        <v>AUD</v>
      </c>
      <c r="J615">
        <v>264475</v>
      </c>
      <c r="M615">
        <v>1171622.642</v>
      </c>
      <c r="N615">
        <v>2.0000000000000001E-4</v>
      </c>
    </row>
    <row r="616" spans="1:14" x14ac:dyDescent="0.35">
      <c r="A616" s="1">
        <v>45657</v>
      </c>
      <c r="B616" t="s">
        <v>14</v>
      </c>
      <c r="C616" t="s">
        <v>15</v>
      </c>
      <c r="D616" t="s">
        <v>81</v>
      </c>
      <c r="E616">
        <v>1</v>
      </c>
      <c r="F616" t="s">
        <v>901</v>
      </c>
      <c r="H616" t="s">
        <v>902</v>
      </c>
      <c r="I616" t="str">
        <f>IF(ISBLANK(H616),"",INDEX(Sheet1!$F$2:$F$936,MATCH(H616,Sheet1!$C$2:$C$936,0)))</f>
        <v>AUD</v>
      </c>
      <c r="J616">
        <v>153006</v>
      </c>
      <c r="M616">
        <v>460548.6434</v>
      </c>
      <c r="N616">
        <v>1E-4</v>
      </c>
    </row>
    <row r="617" spans="1:14" x14ac:dyDescent="0.35">
      <c r="A617" s="1">
        <v>45657</v>
      </c>
      <c r="B617" t="s">
        <v>14</v>
      </c>
      <c r="C617" t="s">
        <v>15</v>
      </c>
      <c r="D617" t="s">
        <v>81</v>
      </c>
      <c r="E617">
        <v>1</v>
      </c>
      <c r="F617" t="s">
        <v>903</v>
      </c>
      <c r="H617" t="s">
        <v>904</v>
      </c>
      <c r="I617" t="str">
        <f>IF(ISBLANK(H617),"",INDEX(Sheet1!$F$2:$F$936,MATCH(H617,Sheet1!$C$2:$C$936,0)))</f>
        <v>ZAR</v>
      </c>
      <c r="J617">
        <v>5582</v>
      </c>
      <c r="M617">
        <v>1993751.9450000001</v>
      </c>
      <c r="N617">
        <v>2.9999999999999997E-4</v>
      </c>
    </row>
    <row r="618" spans="1:14" x14ac:dyDescent="0.35">
      <c r="A618" s="1">
        <v>45657</v>
      </c>
      <c r="B618" t="s">
        <v>14</v>
      </c>
      <c r="C618" t="s">
        <v>15</v>
      </c>
      <c r="D618" t="s">
        <v>81</v>
      </c>
      <c r="E618">
        <v>1</v>
      </c>
      <c r="F618" t="s">
        <v>905</v>
      </c>
      <c r="H618">
        <v>6624608</v>
      </c>
      <c r="I618" t="str">
        <f>IF(ISBLANK(H618),"",INDEX(Sheet1!$F$2:$F$936,MATCH(H618,Sheet1!$C$2:$C$936,0)))</f>
        <v>Australia</v>
      </c>
      <c r="J618">
        <v>2231200</v>
      </c>
      <c r="M618">
        <v>82777521.049999997</v>
      </c>
      <c r="N618">
        <v>1.15E-2</v>
      </c>
    </row>
    <row r="619" spans="1:14" x14ac:dyDescent="0.35">
      <c r="A619" s="1">
        <v>45657</v>
      </c>
      <c r="B619" t="s">
        <v>14</v>
      </c>
      <c r="C619" t="s">
        <v>15</v>
      </c>
      <c r="D619" t="s">
        <v>81</v>
      </c>
      <c r="E619">
        <v>1</v>
      </c>
      <c r="F619" t="s">
        <v>906</v>
      </c>
      <c r="H619">
        <v>2077303</v>
      </c>
      <c r="I619" t="str">
        <f>IF(ISBLANK(H619),"",INDEX(Sheet1!$F$2:$F$936,MATCH(H619,Sheet1!$C$2:$C$936,0)))</f>
        <v>Canada</v>
      </c>
      <c r="J619">
        <v>15703</v>
      </c>
      <c r="M619">
        <v>2306490.2999999998</v>
      </c>
      <c r="N619">
        <v>2.9999999999999997E-4</v>
      </c>
    </row>
    <row r="620" spans="1:14" x14ac:dyDescent="0.35">
      <c r="A620" s="1">
        <v>45657</v>
      </c>
      <c r="B620" t="s">
        <v>14</v>
      </c>
      <c r="C620" t="s">
        <v>15</v>
      </c>
      <c r="D620" t="s">
        <v>81</v>
      </c>
      <c r="E620">
        <v>1</v>
      </c>
      <c r="F620" t="s">
        <v>907</v>
      </c>
      <c r="H620" t="s">
        <v>908</v>
      </c>
      <c r="I620" t="str">
        <f>IF(ISBLANK(H620),"",INDEX(Sheet1!$F$2:$F$936,MATCH(H620,Sheet1!$C$2:$C$936,0)))</f>
        <v>United Kingdom</v>
      </c>
      <c r="J620">
        <v>880280</v>
      </c>
      <c r="M620">
        <v>7159817.6289999997</v>
      </c>
      <c r="N620">
        <v>1E-3</v>
      </c>
    </row>
    <row r="621" spans="1:14" x14ac:dyDescent="0.35">
      <c r="A621" s="1">
        <v>45657</v>
      </c>
      <c r="B621" t="s">
        <v>14</v>
      </c>
      <c r="C621" t="s">
        <v>15</v>
      </c>
      <c r="D621" t="s">
        <v>81</v>
      </c>
      <c r="E621">
        <v>1</v>
      </c>
      <c r="F621" t="s">
        <v>909</v>
      </c>
      <c r="H621" t="s">
        <v>910</v>
      </c>
      <c r="I621" t="str">
        <f>IF(ISBLANK(H621),"",INDEX(Sheet1!$F$2:$F$936,MATCH(H621,Sheet1!$C$2:$C$936,0)))</f>
        <v>AUD</v>
      </c>
      <c r="J621">
        <v>566229</v>
      </c>
      <c r="M621">
        <v>973913.8713</v>
      </c>
      <c r="N621">
        <v>1E-4</v>
      </c>
    </row>
    <row r="622" spans="1:14" x14ac:dyDescent="0.35">
      <c r="A622" s="1">
        <v>45657</v>
      </c>
      <c r="B622" t="s">
        <v>14</v>
      </c>
      <c r="C622" t="s">
        <v>15</v>
      </c>
      <c r="D622" t="s">
        <v>81</v>
      </c>
      <c r="E622">
        <v>1</v>
      </c>
      <c r="F622" t="s">
        <v>911</v>
      </c>
      <c r="H622">
        <v>6640400</v>
      </c>
      <c r="I622" t="str">
        <f>IF(ISBLANK(H622),"",INDEX(Sheet1!$F$2:$F$936,MATCH(H622,Sheet1!$C$2:$C$936,0)))</f>
        <v>Japan</v>
      </c>
      <c r="J622">
        <v>12075</v>
      </c>
      <c r="M622">
        <v>1701881.537</v>
      </c>
      <c r="N622">
        <v>2.0000000000000001E-4</v>
      </c>
    </row>
    <row r="623" spans="1:14" x14ac:dyDescent="0.35">
      <c r="A623" s="1">
        <v>45657</v>
      </c>
      <c r="B623" t="s">
        <v>14</v>
      </c>
      <c r="C623" t="s">
        <v>15</v>
      </c>
      <c r="D623" t="s">
        <v>81</v>
      </c>
      <c r="E623">
        <v>1</v>
      </c>
      <c r="F623" t="s">
        <v>912</v>
      </c>
      <c r="H623">
        <v>6628008</v>
      </c>
      <c r="I623" t="str">
        <f>IF(ISBLANK(H623),"",INDEX(Sheet1!$F$2:$F$936,MATCH(H623,Sheet1!$C$2:$C$936,0)))</f>
        <v>South Africa</v>
      </c>
      <c r="J623">
        <v>20883</v>
      </c>
      <c r="M623">
        <v>503522.15139999997</v>
      </c>
      <c r="N623">
        <v>1E-4</v>
      </c>
    </row>
    <row r="624" spans="1:14" x14ac:dyDescent="0.35">
      <c r="A624" s="1">
        <v>45657</v>
      </c>
      <c r="B624" t="s">
        <v>14</v>
      </c>
      <c r="C624" t="s">
        <v>15</v>
      </c>
      <c r="D624" t="s">
        <v>81</v>
      </c>
      <c r="E624">
        <v>1</v>
      </c>
      <c r="F624" t="s">
        <v>913</v>
      </c>
      <c r="H624">
        <v>7123870</v>
      </c>
      <c r="I624" t="str">
        <f>IF(ISBLANK(H624),"",INDEX(Sheet1!$F$2:$F$936,MATCH(H624,Sheet1!$C$2:$C$936,0)))</f>
        <v>Switzerland</v>
      </c>
      <c r="J624">
        <v>51991</v>
      </c>
      <c r="M624">
        <v>6934508.523</v>
      </c>
      <c r="N624">
        <v>1E-3</v>
      </c>
    </row>
    <row r="625" spans="1:14" x14ac:dyDescent="0.35">
      <c r="A625" s="1">
        <v>45657</v>
      </c>
      <c r="B625" t="s">
        <v>14</v>
      </c>
      <c r="C625" t="s">
        <v>15</v>
      </c>
      <c r="D625" t="s">
        <v>81</v>
      </c>
      <c r="E625">
        <v>1</v>
      </c>
      <c r="F625" t="s">
        <v>914</v>
      </c>
      <c r="H625">
        <v>2630643</v>
      </c>
      <c r="I625" t="str">
        <f>IF(ISBLANK(H625),"",INDEX(Sheet1!$F$2:$F$936,MATCH(H625,Sheet1!$C$2:$C$936,0)))</f>
        <v>United States</v>
      </c>
      <c r="J625">
        <v>17702</v>
      </c>
      <c r="M625">
        <v>3316887.12</v>
      </c>
      <c r="N625">
        <v>5.0000000000000001E-4</v>
      </c>
    </row>
    <row r="626" spans="1:14" x14ac:dyDescent="0.35">
      <c r="A626" s="1">
        <v>45657</v>
      </c>
      <c r="B626" t="s">
        <v>14</v>
      </c>
      <c r="C626" t="s">
        <v>15</v>
      </c>
      <c r="D626" t="s">
        <v>81</v>
      </c>
      <c r="E626">
        <v>1</v>
      </c>
      <c r="F626" t="s">
        <v>915</v>
      </c>
      <c r="H626" t="s">
        <v>916</v>
      </c>
      <c r="I626" t="str">
        <f>IF(ISBLANK(H626),"",INDEX(Sheet1!$F$2:$F$936,MATCH(H626,Sheet1!$C$2:$C$936,0)))</f>
        <v>CNY</v>
      </c>
      <c r="J626">
        <v>32724</v>
      </c>
      <c r="M626">
        <v>941667.79619999998</v>
      </c>
      <c r="N626">
        <v>1E-4</v>
      </c>
    </row>
    <row r="627" spans="1:14" x14ac:dyDescent="0.35">
      <c r="A627" s="1">
        <v>45657</v>
      </c>
      <c r="B627" t="s">
        <v>14</v>
      </c>
      <c r="C627" t="s">
        <v>15</v>
      </c>
      <c r="D627" t="s">
        <v>81</v>
      </c>
      <c r="E627">
        <v>1</v>
      </c>
      <c r="F627" t="s">
        <v>917</v>
      </c>
      <c r="H627">
        <v>2857817</v>
      </c>
      <c r="I627" t="str">
        <f>IF(ISBLANK(H627),"",INDEX(Sheet1!$F$2:$F$936,MATCH(H627,Sheet1!$C$2:$C$936,0)))</f>
        <v>United States</v>
      </c>
      <c r="J627">
        <v>11087</v>
      </c>
      <c r="M627">
        <v>15959315.5</v>
      </c>
      <c r="N627">
        <v>2.2000000000000001E-3</v>
      </c>
    </row>
    <row r="628" spans="1:14" x14ac:dyDescent="0.35">
      <c r="A628" s="1">
        <v>45657</v>
      </c>
      <c r="B628" t="s">
        <v>14</v>
      </c>
      <c r="C628" t="s">
        <v>15</v>
      </c>
      <c r="D628" t="s">
        <v>81</v>
      </c>
      <c r="E628">
        <v>1</v>
      </c>
      <c r="F628" t="s">
        <v>918</v>
      </c>
      <c r="H628" t="s">
        <v>919</v>
      </c>
      <c r="I628" t="str">
        <f>IF(ISBLANK(H628),"",INDEX(Sheet1!$F$2:$F$936,MATCH(H628,Sheet1!$C$2:$C$936,0)))</f>
        <v>AUD</v>
      </c>
      <c r="J628">
        <v>63709</v>
      </c>
      <c r="M628">
        <v>1831000.061</v>
      </c>
      <c r="N628">
        <v>2.9999999999999997E-4</v>
      </c>
    </row>
    <row r="629" spans="1:14" x14ac:dyDescent="0.35">
      <c r="A629" s="1">
        <v>45657</v>
      </c>
      <c r="B629" t="s">
        <v>14</v>
      </c>
      <c r="C629" t="s">
        <v>15</v>
      </c>
      <c r="D629" t="s">
        <v>81</v>
      </c>
      <c r="E629">
        <v>1</v>
      </c>
      <c r="F629" t="s">
        <v>920</v>
      </c>
      <c r="H629" t="s">
        <v>921</v>
      </c>
      <c r="I629" t="str">
        <f>IF(ISBLANK(H629),"",INDEX(Sheet1!$F$2:$F$936,MATCH(H629,Sheet1!$C$2:$C$936,0)))</f>
        <v>AUD</v>
      </c>
      <c r="J629">
        <v>21011</v>
      </c>
      <c r="M629">
        <v>262212.1519</v>
      </c>
      <c r="N629">
        <v>0</v>
      </c>
    </row>
    <row r="630" spans="1:14" x14ac:dyDescent="0.35">
      <c r="A630" s="1">
        <v>45657</v>
      </c>
      <c r="B630" t="s">
        <v>14</v>
      </c>
      <c r="C630" t="s">
        <v>15</v>
      </c>
      <c r="D630" t="s">
        <v>81</v>
      </c>
      <c r="E630">
        <v>1</v>
      </c>
      <c r="F630" t="s">
        <v>922</v>
      </c>
      <c r="H630" t="s">
        <v>923</v>
      </c>
      <c r="I630" t="str">
        <f>IF(ISBLANK(H630),"",INDEX(Sheet1!$F$2:$F$936,MATCH(H630,Sheet1!$C$2:$C$936,0)))</f>
        <v>United States</v>
      </c>
      <c r="J630">
        <v>54608</v>
      </c>
      <c r="M630">
        <v>3249147.4249999998</v>
      </c>
      <c r="N630">
        <v>5.0000000000000001E-4</v>
      </c>
    </row>
    <row r="631" spans="1:14" x14ac:dyDescent="0.35">
      <c r="A631" s="1">
        <v>45657</v>
      </c>
      <c r="B631" t="s">
        <v>14</v>
      </c>
      <c r="C631" t="s">
        <v>15</v>
      </c>
      <c r="D631" t="s">
        <v>81</v>
      </c>
      <c r="E631">
        <v>1</v>
      </c>
      <c r="F631" t="s">
        <v>924</v>
      </c>
      <c r="H631" t="s">
        <v>925</v>
      </c>
      <c r="I631" t="str">
        <f>IF(ISBLANK(H631),"",INDEX(Sheet1!$F$2:$F$936,MATCH(H631,Sheet1!$C$2:$C$936,0)))</f>
        <v>AUD</v>
      </c>
      <c r="J631">
        <v>252630</v>
      </c>
      <c r="M631">
        <v>12126232.02</v>
      </c>
      <c r="N631">
        <v>1.6999999999999901E-3</v>
      </c>
    </row>
    <row r="632" spans="1:14" x14ac:dyDescent="0.35">
      <c r="A632" s="1">
        <v>45657</v>
      </c>
      <c r="B632" t="s">
        <v>14</v>
      </c>
      <c r="C632" t="s">
        <v>15</v>
      </c>
      <c r="D632" t="s">
        <v>81</v>
      </c>
      <c r="E632">
        <v>1</v>
      </c>
      <c r="F632" t="s">
        <v>926</v>
      </c>
      <c r="H632">
        <v>3208986</v>
      </c>
      <c r="I632" t="str">
        <f>IF(ISBLANK(H632),"",INDEX(Sheet1!$F$2:$F$936,MATCH(H632,Sheet1!$C$2:$C$936,0)))</f>
        <v>United Kingdom</v>
      </c>
      <c r="J632">
        <v>7902</v>
      </c>
      <c r="M632">
        <v>1518180.977</v>
      </c>
      <c r="N632">
        <v>2.0000000000000001E-4</v>
      </c>
    </row>
    <row r="633" spans="1:14" x14ac:dyDescent="0.35">
      <c r="A633" s="1">
        <v>45657</v>
      </c>
      <c r="B633" t="s">
        <v>14</v>
      </c>
      <c r="C633" t="s">
        <v>15</v>
      </c>
      <c r="D633" t="s">
        <v>81</v>
      </c>
      <c r="E633">
        <v>1</v>
      </c>
      <c r="F633" t="s">
        <v>927</v>
      </c>
      <c r="H633" t="s">
        <v>928</v>
      </c>
      <c r="I633" t="str">
        <f>IF(ISBLANK(H633),"",INDEX(Sheet1!$F$2:$F$936,MATCH(H633,Sheet1!$C$2:$C$936,0)))</f>
        <v>Australia</v>
      </c>
      <c r="J633">
        <v>224052</v>
      </c>
      <c r="M633">
        <v>3376456.4070000001</v>
      </c>
      <c r="N633">
        <v>5.0000000000000001E-4</v>
      </c>
    </row>
    <row r="634" spans="1:14" x14ac:dyDescent="0.35">
      <c r="A634" s="1">
        <v>45657</v>
      </c>
      <c r="B634" t="s">
        <v>14</v>
      </c>
      <c r="C634" t="s">
        <v>15</v>
      </c>
      <c r="D634" t="s">
        <v>81</v>
      </c>
      <c r="E634">
        <v>1</v>
      </c>
      <c r="F634" t="s">
        <v>929</v>
      </c>
      <c r="H634">
        <v>2328915</v>
      </c>
      <c r="I634" t="str">
        <f>IF(ISBLANK(H634),"",INDEX(Sheet1!$F$2:$F$936,MATCH(H634,Sheet1!$C$2:$C$936,0)))</f>
        <v>United States</v>
      </c>
      <c r="J634">
        <v>2077</v>
      </c>
      <c r="M634">
        <v>240477.4406</v>
      </c>
      <c r="N634">
        <v>0</v>
      </c>
    </row>
    <row r="635" spans="1:14" x14ac:dyDescent="0.35">
      <c r="A635" s="1">
        <v>45657</v>
      </c>
      <c r="B635" t="s">
        <v>14</v>
      </c>
      <c r="C635" t="s">
        <v>15</v>
      </c>
      <c r="D635" t="s">
        <v>81</v>
      </c>
      <c r="E635">
        <v>1</v>
      </c>
      <c r="F635" t="s">
        <v>930</v>
      </c>
      <c r="H635">
        <v>6537085</v>
      </c>
      <c r="I635" t="str">
        <f>IF(ISBLANK(H635),"",INDEX(Sheet1!$F$2:$F$936,MATCH(H635,Sheet1!$C$2:$C$936,0)))</f>
        <v>KRW</v>
      </c>
      <c r="J635">
        <v>76252</v>
      </c>
      <c r="M635">
        <v>1167013.8670000001</v>
      </c>
      <c r="N635">
        <v>2.0000000000000001E-4</v>
      </c>
    </row>
    <row r="636" spans="1:14" x14ac:dyDescent="0.35">
      <c r="A636" s="1">
        <v>45657</v>
      </c>
      <c r="B636" t="s">
        <v>14</v>
      </c>
      <c r="C636" t="s">
        <v>15</v>
      </c>
      <c r="D636" t="s">
        <v>81</v>
      </c>
      <c r="E636">
        <v>1</v>
      </c>
      <c r="F636" t="s">
        <v>931</v>
      </c>
      <c r="H636" t="s">
        <v>932</v>
      </c>
      <c r="I636" t="str">
        <f>IF(ISBLANK(H636),"",INDEX(Sheet1!$F$2:$F$936,MATCH(H636,Sheet1!$C$2:$C$936,0)))</f>
        <v>Australia</v>
      </c>
      <c r="J636">
        <v>194481</v>
      </c>
      <c r="M636">
        <v>1065755.2080000001</v>
      </c>
      <c r="N636">
        <v>1E-4</v>
      </c>
    </row>
    <row r="637" spans="1:14" x14ac:dyDescent="0.35">
      <c r="A637" s="1">
        <v>45657</v>
      </c>
      <c r="B637" t="s">
        <v>14</v>
      </c>
      <c r="C637" t="s">
        <v>15</v>
      </c>
      <c r="D637" t="s">
        <v>81</v>
      </c>
      <c r="E637">
        <v>1</v>
      </c>
      <c r="F637" t="s">
        <v>933</v>
      </c>
      <c r="H637">
        <v>6647133</v>
      </c>
      <c r="I637" t="str">
        <f>IF(ISBLANK(H637),"",INDEX(Sheet1!$F$2:$F$936,MATCH(H637,Sheet1!$C$2:$C$936,0)))</f>
        <v>Israel</v>
      </c>
      <c r="J637">
        <v>3068</v>
      </c>
      <c r="M637">
        <v>844565.30599999998</v>
      </c>
      <c r="N637">
        <v>1E-4</v>
      </c>
    </row>
    <row r="638" spans="1:14" x14ac:dyDescent="0.35">
      <c r="A638" s="1">
        <v>45657</v>
      </c>
      <c r="B638" t="s">
        <v>14</v>
      </c>
      <c r="C638" t="s">
        <v>15</v>
      </c>
      <c r="D638" t="s">
        <v>81</v>
      </c>
      <c r="E638">
        <v>1</v>
      </c>
      <c r="F638" t="s">
        <v>934</v>
      </c>
      <c r="H638" t="s">
        <v>935</v>
      </c>
      <c r="I638" t="str">
        <f>IF(ISBLANK(H638),"",INDEX(Sheet1!$F$2:$F$936,MATCH(H638,Sheet1!$C$2:$C$936,0)))</f>
        <v>AUD</v>
      </c>
      <c r="J638">
        <v>517080</v>
      </c>
      <c r="M638">
        <v>7761373.2209999999</v>
      </c>
      <c r="N638">
        <v>1.1000000000000001E-3</v>
      </c>
    </row>
    <row r="639" spans="1:14" x14ac:dyDescent="0.35">
      <c r="A639" s="1">
        <v>45657</v>
      </c>
      <c r="B639" t="s">
        <v>14</v>
      </c>
      <c r="C639" t="s">
        <v>15</v>
      </c>
      <c r="D639" t="s">
        <v>81</v>
      </c>
      <c r="E639">
        <v>1</v>
      </c>
      <c r="F639" t="s">
        <v>936</v>
      </c>
      <c r="H639">
        <v>2640147</v>
      </c>
      <c r="I639" t="str">
        <f>IF(ISBLANK(H639),"",INDEX(Sheet1!$F$2:$F$936,MATCH(H639,Sheet1!$C$2:$C$936,0)))</f>
        <v>United States</v>
      </c>
      <c r="J639">
        <v>1774</v>
      </c>
      <c r="M639">
        <v>216921.6545</v>
      </c>
      <c r="N639">
        <v>0</v>
      </c>
    </row>
    <row r="640" spans="1:14" x14ac:dyDescent="0.35">
      <c r="A640" s="1">
        <v>45657</v>
      </c>
      <c r="B640" t="s">
        <v>14</v>
      </c>
      <c r="C640" t="s">
        <v>15</v>
      </c>
      <c r="D640" t="s">
        <v>81</v>
      </c>
      <c r="E640">
        <v>1</v>
      </c>
      <c r="F640" t="s">
        <v>937</v>
      </c>
      <c r="H640">
        <v>6641801</v>
      </c>
      <c r="I640" t="str">
        <f>IF(ISBLANK(H640),"",INDEX(Sheet1!$F$2:$F$936,MATCH(H640,Sheet1!$C$2:$C$936,0)))</f>
        <v>Japan</v>
      </c>
      <c r="J640">
        <v>117071</v>
      </c>
      <c r="M640">
        <v>3221967.1970000002</v>
      </c>
      <c r="N640">
        <v>4.0000000000000002E-4</v>
      </c>
    </row>
    <row r="641" spans="1:14" x14ac:dyDescent="0.35">
      <c r="A641" s="1">
        <v>45657</v>
      </c>
      <c r="B641" t="s">
        <v>14</v>
      </c>
      <c r="C641" t="s">
        <v>15</v>
      </c>
      <c r="D641" t="s">
        <v>81</v>
      </c>
      <c r="E641">
        <v>1</v>
      </c>
      <c r="F641" t="s">
        <v>938</v>
      </c>
      <c r="H641">
        <v>6148119</v>
      </c>
      <c r="I641" t="str">
        <f>IF(ISBLANK(H641),"",INDEX(Sheet1!$F$2:$F$936,MATCH(H641,Sheet1!$C$2:$C$936,0)))</f>
        <v>India</v>
      </c>
      <c r="J641">
        <v>460211</v>
      </c>
      <c r="M641">
        <v>570664.47250000003</v>
      </c>
      <c r="N641">
        <v>1E-4</v>
      </c>
    </row>
    <row r="642" spans="1:14" x14ac:dyDescent="0.35">
      <c r="A642" s="1">
        <v>45657</v>
      </c>
      <c r="B642" t="s">
        <v>14</v>
      </c>
      <c r="C642" t="s">
        <v>15</v>
      </c>
      <c r="D642" t="s">
        <v>81</v>
      </c>
      <c r="E642">
        <v>1</v>
      </c>
      <c r="F642" t="s">
        <v>939</v>
      </c>
      <c r="H642" t="s">
        <v>940</v>
      </c>
      <c r="I642" t="str">
        <f>IF(ISBLANK(H642),"",INDEX(Sheet1!$F$2:$F$936,MATCH(H642,Sheet1!$C$2:$C$936,0)))</f>
        <v>Netherlands</v>
      </c>
      <c r="J642">
        <v>43072</v>
      </c>
      <c r="M642">
        <v>3030536.3160000001</v>
      </c>
      <c r="N642">
        <v>4.0000000000000002E-4</v>
      </c>
    </row>
    <row r="643" spans="1:14" x14ac:dyDescent="0.35">
      <c r="A643" s="1">
        <v>45657</v>
      </c>
      <c r="B643" t="s">
        <v>14</v>
      </c>
      <c r="C643" t="s">
        <v>15</v>
      </c>
      <c r="D643" t="s">
        <v>81</v>
      </c>
      <c r="E643">
        <v>1</v>
      </c>
      <c r="F643" t="s">
        <v>941</v>
      </c>
      <c r="H643">
        <v>5902941</v>
      </c>
      <c r="I643" t="str">
        <f>IF(ISBLANK(H643),"",INDEX(Sheet1!$F$2:$F$936,MATCH(H643,Sheet1!$C$2:$C$936,0)))</f>
        <v>Finland</v>
      </c>
      <c r="J643">
        <v>47684</v>
      </c>
      <c r="M643">
        <v>340011.32189999998</v>
      </c>
      <c r="N643">
        <v>0</v>
      </c>
    </row>
    <row r="644" spans="1:14" x14ac:dyDescent="0.35">
      <c r="A644" s="1">
        <v>45657</v>
      </c>
      <c r="B644" t="s">
        <v>14</v>
      </c>
      <c r="C644" t="s">
        <v>15</v>
      </c>
      <c r="D644" t="s">
        <v>81</v>
      </c>
      <c r="E644">
        <v>1</v>
      </c>
      <c r="F644" t="s">
        <v>942</v>
      </c>
      <c r="H644">
        <v>6643108</v>
      </c>
      <c r="I644" t="str">
        <f>IF(ISBLANK(H644),"",INDEX(Sheet1!$F$2:$F$936,MATCH(H644,Sheet1!$C$2:$C$936,0)))</f>
        <v>Japan</v>
      </c>
      <c r="J644">
        <v>351329</v>
      </c>
      <c r="M644">
        <v>3361803.764</v>
      </c>
      <c r="N644">
        <v>5.0000000000000001E-4</v>
      </c>
    </row>
    <row r="645" spans="1:14" x14ac:dyDescent="0.35">
      <c r="A645" s="1">
        <v>45657</v>
      </c>
      <c r="B645" t="s">
        <v>14</v>
      </c>
      <c r="C645" t="s">
        <v>15</v>
      </c>
      <c r="D645" t="s">
        <v>81</v>
      </c>
      <c r="E645">
        <v>1</v>
      </c>
      <c r="F645" t="s">
        <v>943</v>
      </c>
      <c r="H645" t="s">
        <v>944</v>
      </c>
      <c r="I645" t="str">
        <f>IF(ISBLANK(H645),"",INDEX(Sheet1!$F$2:$F$936,MATCH(H645,Sheet1!$C$2:$C$936,0)))</f>
        <v>Finland</v>
      </c>
      <c r="J645">
        <v>30984</v>
      </c>
      <c r="M645">
        <v>543321.97510000004</v>
      </c>
      <c r="N645">
        <v>1E-4</v>
      </c>
    </row>
    <row r="646" spans="1:14" x14ac:dyDescent="0.35">
      <c r="A646" s="1">
        <v>45657</v>
      </c>
      <c r="B646" t="s">
        <v>14</v>
      </c>
      <c r="C646" t="s">
        <v>15</v>
      </c>
      <c r="D646" t="s">
        <v>81</v>
      </c>
      <c r="E646">
        <v>1</v>
      </c>
      <c r="F646" t="s">
        <v>945</v>
      </c>
      <c r="H646">
        <v>6717456</v>
      </c>
      <c r="I646" t="str">
        <f>IF(ISBLANK(H646),"",INDEX(Sheet1!$F$2:$F$936,MATCH(H646,Sheet1!$C$2:$C$936,0)))</f>
        <v>Australia</v>
      </c>
      <c r="J646">
        <v>408452</v>
      </c>
      <c r="M646">
        <v>6306492.6100000003</v>
      </c>
      <c r="N646">
        <v>8.9999999999999998E-4</v>
      </c>
    </row>
    <row r="647" spans="1:14" x14ac:dyDescent="0.35">
      <c r="A647" s="1">
        <v>45657</v>
      </c>
      <c r="B647" t="s">
        <v>14</v>
      </c>
      <c r="C647" t="s">
        <v>15</v>
      </c>
      <c r="D647" t="s">
        <v>81</v>
      </c>
      <c r="E647">
        <v>1</v>
      </c>
      <c r="F647" t="s">
        <v>946</v>
      </c>
      <c r="H647">
        <v>2648668</v>
      </c>
      <c r="I647" t="str">
        <f>IF(ISBLANK(H647),"",INDEX(Sheet1!$F$2:$F$936,MATCH(H647,Sheet1!$C$2:$C$936,0)))</f>
        <v>United States</v>
      </c>
      <c r="J647">
        <v>21181</v>
      </c>
      <c r="M647">
        <v>3503368.0550000002</v>
      </c>
      <c r="N647">
        <v>5.0000000000000001E-4</v>
      </c>
    </row>
    <row r="648" spans="1:14" x14ac:dyDescent="0.35">
      <c r="A648" s="1">
        <v>45657</v>
      </c>
      <c r="B648" t="s">
        <v>14</v>
      </c>
      <c r="C648" t="s">
        <v>15</v>
      </c>
      <c r="D648" t="s">
        <v>81</v>
      </c>
      <c r="E648">
        <v>1</v>
      </c>
      <c r="F648" t="s">
        <v>947</v>
      </c>
      <c r="H648">
        <v>2648806</v>
      </c>
      <c r="I648" t="str">
        <f>IF(ISBLANK(H648),"",INDEX(Sheet1!$F$2:$F$936,MATCH(H648,Sheet1!$C$2:$C$936,0)))</f>
        <v>United States</v>
      </c>
      <c r="J648">
        <v>10884</v>
      </c>
      <c r="M648">
        <v>8238763.9610000001</v>
      </c>
      <c r="N648">
        <v>1.1000000000000001E-3</v>
      </c>
    </row>
    <row r="649" spans="1:14" x14ac:dyDescent="0.35">
      <c r="A649" s="1">
        <v>45657</v>
      </c>
      <c r="B649" t="s">
        <v>14</v>
      </c>
      <c r="C649" t="s">
        <v>15</v>
      </c>
      <c r="D649" t="s">
        <v>81</v>
      </c>
      <c r="E649">
        <v>1</v>
      </c>
      <c r="F649" t="s">
        <v>948</v>
      </c>
      <c r="H649">
        <v>7103065</v>
      </c>
      <c r="I649" t="str">
        <f>IF(ISBLANK(H649),"",INDEX(Sheet1!$F$2:$F$936,MATCH(H649,Sheet1!$C$2:$C$936,0)))</f>
        <v>Switzerland</v>
      </c>
      <c r="J649">
        <v>69489</v>
      </c>
      <c r="M649">
        <v>10982397.119999999</v>
      </c>
      <c r="N649">
        <v>1.5E-3</v>
      </c>
    </row>
    <row r="650" spans="1:14" x14ac:dyDescent="0.35">
      <c r="A650" s="1">
        <v>45657</v>
      </c>
      <c r="B650" t="s">
        <v>14</v>
      </c>
      <c r="C650" t="s">
        <v>15</v>
      </c>
      <c r="D650" t="s">
        <v>81</v>
      </c>
      <c r="E650">
        <v>1</v>
      </c>
      <c r="F650" t="s">
        <v>949</v>
      </c>
      <c r="H650">
        <v>6346333</v>
      </c>
      <c r="I650" t="str">
        <f>IF(ISBLANK(H650),"",INDEX(Sheet1!$F$2:$F$936,MATCH(H650,Sheet1!$C$2:$C$936,0)))</f>
        <v>Taiwan</v>
      </c>
      <c r="J650">
        <v>39665</v>
      </c>
      <c r="M650">
        <v>979001.28839999996</v>
      </c>
      <c r="N650">
        <v>1E-4</v>
      </c>
    </row>
    <row r="651" spans="1:14" x14ac:dyDescent="0.35">
      <c r="A651" s="1">
        <v>45657</v>
      </c>
      <c r="B651" t="s">
        <v>14</v>
      </c>
      <c r="C651" t="s">
        <v>15</v>
      </c>
      <c r="D651" t="s">
        <v>81</v>
      </c>
      <c r="E651">
        <v>1</v>
      </c>
      <c r="F651" t="s">
        <v>950</v>
      </c>
      <c r="H651" t="s">
        <v>951</v>
      </c>
      <c r="I651" t="str">
        <f>IF(ISBLANK(H651),"",INDEX(Sheet1!$F$2:$F$936,MATCH(H651,Sheet1!$C$2:$C$936,0)))</f>
        <v>Denmark</v>
      </c>
      <c r="J651">
        <v>30430</v>
      </c>
      <c r="M651">
        <v>4233330.3729999997</v>
      </c>
      <c r="N651">
        <v>5.9999999999999995E-4</v>
      </c>
    </row>
    <row r="652" spans="1:14" x14ac:dyDescent="0.35">
      <c r="A652" s="1">
        <v>45657</v>
      </c>
      <c r="B652" t="s">
        <v>14</v>
      </c>
      <c r="C652" t="s">
        <v>15</v>
      </c>
      <c r="D652" t="s">
        <v>81</v>
      </c>
      <c r="E652">
        <v>1</v>
      </c>
      <c r="F652" t="s">
        <v>952</v>
      </c>
      <c r="H652" t="s">
        <v>953</v>
      </c>
      <c r="I652" t="str">
        <f>IF(ISBLANK(H652),"",INDEX(Sheet1!$F$2:$F$936,MATCH(H652,Sheet1!$C$2:$C$936,0)))</f>
        <v>AUD</v>
      </c>
      <c r="J652">
        <v>772630</v>
      </c>
      <c r="M652">
        <v>2966900.9270000001</v>
      </c>
      <c r="N652">
        <v>4.0000000000000002E-4</v>
      </c>
    </row>
    <row r="653" spans="1:14" x14ac:dyDescent="0.35">
      <c r="A653" s="1">
        <v>45657</v>
      </c>
      <c r="B653" t="s">
        <v>14</v>
      </c>
      <c r="C653" t="s">
        <v>15</v>
      </c>
      <c r="D653" t="s">
        <v>81</v>
      </c>
      <c r="E653">
        <v>1</v>
      </c>
      <c r="F653" t="s">
        <v>954</v>
      </c>
      <c r="H653" t="s">
        <v>955</v>
      </c>
      <c r="I653" t="str">
        <f>IF(ISBLANK(H653),"",INDEX(Sheet1!$F$2:$F$936,MATCH(H653,Sheet1!$C$2:$C$936,0)))</f>
        <v>Brazil</v>
      </c>
      <c r="J653">
        <v>329847</v>
      </c>
      <c r="M653">
        <v>5519202.9239999996</v>
      </c>
      <c r="N653">
        <v>8.0000000000000004E-4</v>
      </c>
    </row>
    <row r="654" spans="1:14" x14ac:dyDescent="0.35">
      <c r="A654" s="1">
        <v>45657</v>
      </c>
      <c r="B654" t="s">
        <v>14</v>
      </c>
      <c r="C654" t="s">
        <v>15</v>
      </c>
      <c r="D654" t="s">
        <v>81</v>
      </c>
      <c r="E654">
        <v>1</v>
      </c>
      <c r="F654" t="s">
        <v>956</v>
      </c>
      <c r="H654">
        <v>6335331</v>
      </c>
      <c r="I654" t="str">
        <f>IF(ISBLANK(H654),"",INDEX(Sheet1!$F$2:$F$936,MATCH(H654,Sheet1!$C$2:$C$936,0)))</f>
        <v>AUD</v>
      </c>
      <c r="J654">
        <v>516798</v>
      </c>
      <c r="M654">
        <v>1829466.308</v>
      </c>
      <c r="N654">
        <v>2.9999999999999997E-4</v>
      </c>
    </row>
    <row r="655" spans="1:14" x14ac:dyDescent="0.35">
      <c r="A655" s="1">
        <v>45657</v>
      </c>
      <c r="B655" t="s">
        <v>14</v>
      </c>
      <c r="C655" t="s">
        <v>15</v>
      </c>
      <c r="D655" t="s">
        <v>81</v>
      </c>
      <c r="E655">
        <v>1</v>
      </c>
      <c r="F655" t="s">
        <v>957</v>
      </c>
      <c r="H655" t="s">
        <v>958</v>
      </c>
      <c r="I655" t="str">
        <f>IF(ISBLANK(H655),"",INDEX(Sheet1!$F$2:$F$936,MATCH(H655,Sheet1!$C$2:$C$936,0)))</f>
        <v>AUD</v>
      </c>
      <c r="J655">
        <v>104290</v>
      </c>
      <c r="M655">
        <v>659112.53910000005</v>
      </c>
      <c r="N655">
        <v>1E-4</v>
      </c>
    </row>
    <row r="656" spans="1:14" x14ac:dyDescent="0.35">
      <c r="A656" s="1">
        <v>45657</v>
      </c>
      <c r="B656" t="s">
        <v>14</v>
      </c>
      <c r="C656" t="s">
        <v>15</v>
      </c>
      <c r="D656" t="s">
        <v>81</v>
      </c>
      <c r="E656">
        <v>1</v>
      </c>
      <c r="F656" t="s">
        <v>959</v>
      </c>
      <c r="H656">
        <v>2379504</v>
      </c>
      <c r="I656" t="str">
        <f>IF(ISBLANK(H656),"",INDEX(Sheet1!$F$2:$F$936,MATCH(H656,Sheet1!$C$2:$C$936,0)))</f>
        <v>United States</v>
      </c>
      <c r="J656">
        <v>379635</v>
      </c>
      <c r="M656">
        <v>82267020.230000004</v>
      </c>
      <c r="N656">
        <v>1.1399999999999999E-2</v>
      </c>
    </row>
    <row r="657" spans="1:14" x14ac:dyDescent="0.35">
      <c r="A657" s="1">
        <v>45657</v>
      </c>
      <c r="B657" t="s">
        <v>14</v>
      </c>
      <c r="C657" t="s">
        <v>15</v>
      </c>
      <c r="D657" t="s">
        <v>81</v>
      </c>
      <c r="E657">
        <v>1</v>
      </c>
      <c r="F657" t="s">
        <v>960</v>
      </c>
      <c r="H657" t="s">
        <v>961</v>
      </c>
      <c r="I657" t="str">
        <f>IF(ISBLANK(H657),"",INDEX(Sheet1!$F$2:$F$936,MATCH(H657,Sheet1!$C$2:$C$936,0)))</f>
        <v>Netherlands</v>
      </c>
      <c r="J657">
        <v>3842</v>
      </c>
      <c r="M657">
        <v>1289860.912</v>
      </c>
      <c r="N657">
        <v>2.0000000000000001E-4</v>
      </c>
    </row>
    <row r="658" spans="1:14" x14ac:dyDescent="0.35">
      <c r="A658" s="1">
        <v>45657</v>
      </c>
      <c r="B658" t="s">
        <v>14</v>
      </c>
      <c r="C658" t="s">
        <v>15</v>
      </c>
      <c r="D658" t="s">
        <v>81</v>
      </c>
      <c r="E658">
        <v>1</v>
      </c>
      <c r="F658" t="s">
        <v>962</v>
      </c>
      <c r="H658">
        <v>6283407</v>
      </c>
      <c r="I658" t="str">
        <f>IF(ISBLANK(H658),"",INDEX(Sheet1!$F$2:$F$936,MATCH(H658,Sheet1!$C$2:$C$936,0)))</f>
        <v>Australia</v>
      </c>
      <c r="J658">
        <v>32617</v>
      </c>
      <c r="M658">
        <v>517962.24249999999</v>
      </c>
      <c r="N658">
        <v>1E-4</v>
      </c>
    </row>
    <row r="659" spans="1:14" x14ac:dyDescent="0.35">
      <c r="A659" s="1">
        <v>45657</v>
      </c>
      <c r="B659" t="s">
        <v>14</v>
      </c>
      <c r="C659" t="s">
        <v>15</v>
      </c>
      <c r="D659" t="s">
        <v>81</v>
      </c>
      <c r="E659">
        <v>1</v>
      </c>
      <c r="F659" t="s">
        <v>963</v>
      </c>
      <c r="H659" t="s">
        <v>964</v>
      </c>
      <c r="I659" t="str">
        <f>IF(ISBLANK(H659),"",INDEX(Sheet1!$F$2:$F$936,MATCH(H659,Sheet1!$C$2:$C$936,0)))</f>
        <v>AUD</v>
      </c>
      <c r="J659">
        <v>329801</v>
      </c>
      <c r="M659">
        <v>465020.0331</v>
      </c>
      <c r="N659">
        <v>1E-4</v>
      </c>
    </row>
    <row r="660" spans="1:14" x14ac:dyDescent="0.35">
      <c r="A660" s="1">
        <v>45657</v>
      </c>
      <c r="B660" t="s">
        <v>14</v>
      </c>
      <c r="C660" t="s">
        <v>15</v>
      </c>
      <c r="D660" t="s">
        <v>81</v>
      </c>
      <c r="E660">
        <v>1</v>
      </c>
      <c r="F660" t="s">
        <v>965</v>
      </c>
      <c r="H660">
        <v>6139362</v>
      </c>
      <c r="I660" t="str">
        <f>IF(ISBLANK(H660),"",INDEX(Sheet1!$F$2:$F$936,MATCH(H660,Sheet1!$C$2:$C$936,0)))</f>
        <v>India</v>
      </c>
      <c r="J660">
        <v>209294</v>
      </c>
      <c r="M660">
        <v>944449.86880000005</v>
      </c>
      <c r="N660">
        <v>1E-4</v>
      </c>
    </row>
    <row r="661" spans="1:14" x14ac:dyDescent="0.35">
      <c r="A661" s="1">
        <v>45657</v>
      </c>
      <c r="B661" t="s">
        <v>14</v>
      </c>
      <c r="C661" t="s">
        <v>15</v>
      </c>
      <c r="D661" t="s">
        <v>81</v>
      </c>
      <c r="E661">
        <v>1</v>
      </c>
      <c r="F661" t="s">
        <v>966</v>
      </c>
      <c r="H661" t="s">
        <v>967</v>
      </c>
      <c r="I661" t="str">
        <f>IF(ISBLANK(H661),"",INDEX(Sheet1!$F$2:$F$936,MATCH(H661,Sheet1!$C$2:$C$936,0)))</f>
        <v>ZAR</v>
      </c>
      <c r="J661">
        <v>197420</v>
      </c>
      <c r="M661">
        <v>211387.82990000001</v>
      </c>
      <c r="N661">
        <v>0</v>
      </c>
    </row>
    <row r="662" spans="1:14" x14ac:dyDescent="0.35">
      <c r="A662" s="1">
        <v>45657</v>
      </c>
      <c r="B662" t="s">
        <v>14</v>
      </c>
      <c r="C662" t="s">
        <v>15</v>
      </c>
      <c r="D662" t="s">
        <v>81</v>
      </c>
      <c r="E662">
        <v>1</v>
      </c>
      <c r="F662" t="s">
        <v>968</v>
      </c>
      <c r="H662">
        <v>2279303</v>
      </c>
      <c r="I662" t="str">
        <f>IF(ISBLANK(H662),"",INDEX(Sheet1!$F$2:$F$936,MATCH(H662,Sheet1!$C$2:$C$936,0)))</f>
        <v>United States</v>
      </c>
      <c r="J662">
        <v>20413</v>
      </c>
      <c r="M662">
        <v>2836688.1179999998</v>
      </c>
      <c r="N662">
        <v>4.0000000000000002E-4</v>
      </c>
    </row>
    <row r="663" spans="1:14" x14ac:dyDescent="0.35">
      <c r="A663" s="1">
        <v>45657</v>
      </c>
      <c r="B663" t="s">
        <v>14</v>
      </c>
      <c r="C663" t="s">
        <v>15</v>
      </c>
      <c r="D663" t="s">
        <v>81</v>
      </c>
      <c r="E663">
        <v>1</v>
      </c>
      <c r="F663" t="s">
        <v>969</v>
      </c>
      <c r="H663" t="s">
        <v>970</v>
      </c>
      <c r="I663" t="str">
        <f>IF(ISBLANK(H663),"",INDEX(Sheet1!$F$2:$F$936,MATCH(H663,Sheet1!$C$2:$C$936,0)))</f>
        <v>AU</v>
      </c>
      <c r="J663">
        <v>943086</v>
      </c>
      <c r="M663">
        <v>1108125.922</v>
      </c>
      <c r="N663">
        <v>2.0000000000000001E-4</v>
      </c>
    </row>
    <row r="664" spans="1:14" x14ac:dyDescent="0.35">
      <c r="A664" s="1">
        <v>45657</v>
      </c>
      <c r="B664" t="s">
        <v>14</v>
      </c>
      <c r="C664" t="s">
        <v>15</v>
      </c>
      <c r="D664" t="s">
        <v>81</v>
      </c>
      <c r="E664">
        <v>1</v>
      </c>
      <c r="F664" t="s">
        <v>971</v>
      </c>
      <c r="H664">
        <v>7107250</v>
      </c>
      <c r="I664" t="str">
        <f>IF(ISBLANK(H664),"",INDEX(Sheet1!$F$2:$F$936,MATCH(H664,Sheet1!$C$2:$C$936,0)))</f>
        <v>EUR</v>
      </c>
      <c r="J664">
        <v>50203</v>
      </c>
      <c r="M664">
        <v>1316536.7009999999</v>
      </c>
      <c r="N664">
        <v>2.0000000000000001E-4</v>
      </c>
    </row>
    <row r="665" spans="1:14" x14ac:dyDescent="0.35">
      <c r="A665" s="1">
        <v>45657</v>
      </c>
      <c r="B665" t="s">
        <v>14</v>
      </c>
      <c r="C665" t="s">
        <v>15</v>
      </c>
      <c r="D665" t="s">
        <v>81</v>
      </c>
      <c r="E665">
        <v>1</v>
      </c>
      <c r="F665" t="s">
        <v>972</v>
      </c>
      <c r="H665">
        <v>2260824</v>
      </c>
      <c r="I665" t="str">
        <f>IF(ISBLANK(H665),"",INDEX(Sheet1!$F$2:$F$936,MATCH(H665,Sheet1!$C$2:$C$936,0)))</f>
        <v>EUR</v>
      </c>
      <c r="J665">
        <v>62871</v>
      </c>
      <c r="M665">
        <v>2866541.1269999999</v>
      </c>
      <c r="N665">
        <v>4.0000000000000002E-4</v>
      </c>
    </row>
    <row r="666" spans="1:14" x14ac:dyDescent="0.35">
      <c r="A666" s="1">
        <v>45657</v>
      </c>
      <c r="B666" t="s">
        <v>14</v>
      </c>
      <c r="C666" t="s">
        <v>15</v>
      </c>
      <c r="D666" t="s">
        <v>81</v>
      </c>
      <c r="E666">
        <v>1</v>
      </c>
      <c r="F666" t="s">
        <v>973</v>
      </c>
      <c r="H666">
        <v>2661568</v>
      </c>
      <c r="I666" t="str">
        <f>IF(ISBLANK(H666),"",INDEX(Sheet1!$F$2:$F$936,MATCH(H666,Sheet1!$C$2:$C$936,0)))</f>
        <v>United States</v>
      </c>
      <c r="J666">
        <v>32532</v>
      </c>
      <c r="M666">
        <v>8758524.6150000002</v>
      </c>
      <c r="N666">
        <v>1.1999999999999999E-3</v>
      </c>
    </row>
    <row r="667" spans="1:14" x14ac:dyDescent="0.35">
      <c r="A667" s="1">
        <v>45657</v>
      </c>
      <c r="B667" t="s">
        <v>14</v>
      </c>
      <c r="C667" t="s">
        <v>15</v>
      </c>
      <c r="D667" t="s">
        <v>81</v>
      </c>
      <c r="E667">
        <v>1</v>
      </c>
      <c r="F667" t="s">
        <v>974</v>
      </c>
      <c r="H667">
        <v>6458001</v>
      </c>
      <c r="I667" t="str">
        <f>IF(ISBLANK(H667),"",INDEX(Sheet1!$F$2:$F$936,MATCH(H667,Sheet1!$C$2:$C$936,0)))</f>
        <v>Australia</v>
      </c>
      <c r="J667">
        <v>142657</v>
      </c>
      <c r="M667">
        <v>2365258.2749999999</v>
      </c>
      <c r="N667">
        <v>2.9999999999999997E-4</v>
      </c>
    </row>
    <row r="668" spans="1:14" x14ac:dyDescent="0.35">
      <c r="A668" s="1">
        <v>45657</v>
      </c>
      <c r="B668" t="s">
        <v>14</v>
      </c>
      <c r="C668" t="s">
        <v>15</v>
      </c>
      <c r="D668" t="s">
        <v>81</v>
      </c>
      <c r="E668">
        <v>1</v>
      </c>
      <c r="F668" t="s">
        <v>975</v>
      </c>
      <c r="H668">
        <v>6214861</v>
      </c>
      <c r="I668" t="str">
        <f>IF(ISBLANK(H668),"",INDEX(Sheet1!$F$2:$F$936,MATCH(H668,Sheet1!$C$2:$C$936,0)))</f>
        <v>Australia</v>
      </c>
      <c r="J668">
        <v>323165</v>
      </c>
      <c r="M668">
        <v>3519265.5469999998</v>
      </c>
      <c r="N668">
        <v>5.0000000000000001E-4</v>
      </c>
    </row>
    <row r="669" spans="1:14" x14ac:dyDescent="0.35">
      <c r="A669" s="1">
        <v>45657</v>
      </c>
      <c r="B669" t="s">
        <v>14</v>
      </c>
      <c r="C669" t="s">
        <v>15</v>
      </c>
      <c r="D669" t="s">
        <v>81</v>
      </c>
      <c r="E669">
        <v>1</v>
      </c>
      <c r="F669" t="s">
        <v>976</v>
      </c>
      <c r="H669">
        <v>6661144</v>
      </c>
      <c r="I669" t="str">
        <f>IF(ISBLANK(H669),"",INDEX(Sheet1!$F$2:$F$936,MATCH(H669,Sheet1!$C$2:$C$936,0)))</f>
        <v>Japan</v>
      </c>
      <c r="J669">
        <v>91347</v>
      </c>
      <c r="M669">
        <v>3198357.9040000001</v>
      </c>
      <c r="N669">
        <v>4.0000000000000002E-4</v>
      </c>
    </row>
    <row r="670" spans="1:14" x14ac:dyDescent="0.35">
      <c r="A670" s="1">
        <v>45657</v>
      </c>
      <c r="B670" t="s">
        <v>14</v>
      </c>
      <c r="C670" t="s">
        <v>15</v>
      </c>
      <c r="D670" t="s">
        <v>81</v>
      </c>
      <c r="E670">
        <v>1</v>
      </c>
      <c r="F670" t="s">
        <v>977</v>
      </c>
      <c r="H670" t="s">
        <v>978</v>
      </c>
      <c r="I670" t="str">
        <f>IF(ISBLANK(H670),"",INDEX(Sheet1!$F$2:$F$936,MATCH(H670,Sheet1!$C$2:$C$936,0)))</f>
        <v>Norway</v>
      </c>
      <c r="J670">
        <v>76056</v>
      </c>
      <c r="M670">
        <v>1063202.5049999999</v>
      </c>
      <c r="N670">
        <v>1E-4</v>
      </c>
    </row>
    <row r="671" spans="1:14" x14ac:dyDescent="0.35">
      <c r="A671" s="1">
        <v>45657</v>
      </c>
      <c r="B671" t="s">
        <v>14</v>
      </c>
      <c r="C671" t="s">
        <v>15</v>
      </c>
      <c r="D671" t="s">
        <v>81</v>
      </c>
      <c r="E671">
        <v>1</v>
      </c>
      <c r="F671" t="s">
        <v>979</v>
      </c>
      <c r="H671" t="s">
        <v>980</v>
      </c>
      <c r="I671" t="str">
        <f>IF(ISBLANK(H671),"",INDEX(Sheet1!$F$2:$F$936,MATCH(H671,Sheet1!$C$2:$C$936,0)))</f>
        <v>Australia</v>
      </c>
      <c r="J671">
        <v>3036739</v>
      </c>
      <c r="M671">
        <v>7470378.3370000003</v>
      </c>
      <c r="N671">
        <v>1E-3</v>
      </c>
    </row>
    <row r="672" spans="1:14" x14ac:dyDescent="0.35">
      <c r="A672" s="1">
        <v>45657</v>
      </c>
      <c r="B672" t="s">
        <v>14</v>
      </c>
      <c r="C672" t="s">
        <v>15</v>
      </c>
      <c r="D672" t="s">
        <v>81</v>
      </c>
      <c r="E672">
        <v>1</v>
      </c>
      <c r="F672" t="s">
        <v>981</v>
      </c>
      <c r="H672" t="s">
        <v>982</v>
      </c>
      <c r="I672" t="str">
        <f>IF(ISBLANK(H672),"",INDEX(Sheet1!$F$2:$F$936,MATCH(H672,Sheet1!$C$2:$C$936,0)))</f>
        <v>Japan</v>
      </c>
      <c r="J672">
        <v>37157</v>
      </c>
      <c r="M672">
        <v>3280165.5690000001</v>
      </c>
      <c r="N672">
        <v>5.0000000000000001E-4</v>
      </c>
    </row>
    <row r="673" spans="1:14" x14ac:dyDescent="0.35">
      <c r="A673" s="1">
        <v>45657</v>
      </c>
      <c r="B673" t="s">
        <v>14</v>
      </c>
      <c r="C673" t="s">
        <v>15</v>
      </c>
      <c r="D673" t="s">
        <v>81</v>
      </c>
      <c r="E673">
        <v>1</v>
      </c>
      <c r="F673" t="s">
        <v>983</v>
      </c>
      <c r="H673" t="s">
        <v>984</v>
      </c>
      <c r="I673" t="str">
        <f>IF(ISBLANK(H673),"",INDEX(Sheet1!$F$2:$F$936,MATCH(H673,Sheet1!$C$2:$C$936,0)))</f>
        <v>Singapore</v>
      </c>
      <c r="J673">
        <v>200193</v>
      </c>
      <c r="M673">
        <v>3953397.38</v>
      </c>
      <c r="N673">
        <v>5.0000000000000001E-4</v>
      </c>
    </row>
    <row r="674" spans="1:14" x14ac:dyDescent="0.35">
      <c r="A674" s="1">
        <v>45657</v>
      </c>
      <c r="B674" t="s">
        <v>14</v>
      </c>
      <c r="C674" t="s">
        <v>15</v>
      </c>
      <c r="D674" t="s">
        <v>81</v>
      </c>
      <c r="E674">
        <v>1</v>
      </c>
      <c r="F674" t="s">
        <v>985</v>
      </c>
      <c r="H674" t="s">
        <v>986</v>
      </c>
      <c r="I674" t="str">
        <f>IF(ISBLANK(H674),"",INDEX(Sheet1!$F$2:$F$936,MATCH(H674,Sheet1!$C$2:$C$936,0)))</f>
        <v>United States</v>
      </c>
      <c r="J674">
        <v>30990</v>
      </c>
      <c r="M674">
        <v>2026100.5090000001</v>
      </c>
      <c r="N674">
        <v>2.9999999999999997E-4</v>
      </c>
    </row>
    <row r="675" spans="1:14" x14ac:dyDescent="0.35">
      <c r="A675" s="1">
        <v>45657</v>
      </c>
      <c r="B675" t="s">
        <v>14</v>
      </c>
      <c r="C675" t="s">
        <v>15</v>
      </c>
      <c r="D675" t="s">
        <v>81</v>
      </c>
      <c r="E675">
        <v>1</v>
      </c>
      <c r="F675" t="s">
        <v>987</v>
      </c>
      <c r="H675">
        <v>2665861</v>
      </c>
      <c r="I675" t="str">
        <f>IF(ISBLANK(H675),"",INDEX(Sheet1!$F$2:$F$936,MATCH(H675,Sheet1!$C$2:$C$936,0)))</f>
        <v>United States</v>
      </c>
      <c r="J675">
        <v>22243</v>
      </c>
      <c r="M675">
        <v>3735202.9789999998</v>
      </c>
      <c r="N675">
        <v>5.0000000000000001E-4</v>
      </c>
    </row>
    <row r="676" spans="1:14" x14ac:dyDescent="0.35">
      <c r="A676" s="1">
        <v>45657</v>
      </c>
      <c r="B676" t="s">
        <v>14</v>
      </c>
      <c r="C676" t="s">
        <v>15</v>
      </c>
      <c r="D676" t="s">
        <v>81</v>
      </c>
      <c r="E676">
        <v>1</v>
      </c>
      <c r="F676" t="s">
        <v>988</v>
      </c>
      <c r="H676" t="s">
        <v>989</v>
      </c>
      <c r="I676" t="str">
        <f>IF(ISBLANK(H676),"",INDEX(Sheet1!$F$2:$F$936,MATCH(H676,Sheet1!$C$2:$C$936,0)))</f>
        <v>INR</v>
      </c>
      <c r="J676">
        <v>624</v>
      </c>
      <c r="M676">
        <v>556830.06259999995</v>
      </c>
      <c r="N676">
        <v>1E-4</v>
      </c>
    </row>
    <row r="677" spans="1:14" x14ac:dyDescent="0.35">
      <c r="A677" s="1">
        <v>45657</v>
      </c>
      <c r="B677" t="s">
        <v>14</v>
      </c>
      <c r="C677" t="s">
        <v>15</v>
      </c>
      <c r="D677" t="s">
        <v>81</v>
      </c>
      <c r="E677">
        <v>1</v>
      </c>
      <c r="F677" t="s">
        <v>990</v>
      </c>
      <c r="H677" t="s">
        <v>991</v>
      </c>
      <c r="I677" t="str">
        <f>IF(ISBLANK(H677),"",INDEX(Sheet1!$F$2:$F$936,MATCH(H677,Sheet1!$C$2:$C$936,0)))</f>
        <v>United States</v>
      </c>
      <c r="J677">
        <v>1555</v>
      </c>
      <c r="M677">
        <v>189983.92329999999</v>
      </c>
      <c r="N677">
        <v>0</v>
      </c>
    </row>
    <row r="678" spans="1:14" x14ac:dyDescent="0.35">
      <c r="A678" s="1">
        <v>45657</v>
      </c>
      <c r="B678" t="s">
        <v>14</v>
      </c>
      <c r="C678" t="s">
        <v>15</v>
      </c>
      <c r="D678" t="s">
        <v>81</v>
      </c>
      <c r="E678">
        <v>1</v>
      </c>
      <c r="F678" t="s">
        <v>992</v>
      </c>
      <c r="H678" t="s">
        <v>993</v>
      </c>
      <c r="I678" t="str">
        <f>IF(ISBLANK(H678),"",INDEX(Sheet1!$F$2:$F$936,MATCH(H678,Sheet1!$C$2:$C$936,0)))</f>
        <v>Denmark</v>
      </c>
      <c r="J678">
        <v>11744</v>
      </c>
      <c r="M678">
        <v>3474169.9070000001</v>
      </c>
      <c r="N678">
        <v>5.0000000000000001E-4</v>
      </c>
    </row>
    <row r="679" spans="1:14" x14ac:dyDescent="0.35">
      <c r="A679" s="1">
        <v>45657</v>
      </c>
      <c r="B679" t="s">
        <v>14</v>
      </c>
      <c r="C679" t="s">
        <v>15</v>
      </c>
      <c r="D679" t="s">
        <v>81</v>
      </c>
      <c r="E679">
        <v>1</v>
      </c>
      <c r="F679" t="s">
        <v>994</v>
      </c>
      <c r="H679">
        <v>2671501</v>
      </c>
      <c r="I679" t="str">
        <f>IF(ISBLANK(H679),"",INDEX(Sheet1!$F$2:$F$936,MATCH(H679,Sheet1!$C$2:$C$936,0)))</f>
        <v>United States</v>
      </c>
      <c r="J679">
        <v>4119</v>
      </c>
      <c r="M679">
        <v>4226867.28</v>
      </c>
      <c r="N679">
        <v>5.9999999999999995E-4</v>
      </c>
    </row>
    <row r="680" spans="1:14" x14ac:dyDescent="0.35">
      <c r="A680" s="1">
        <v>45657</v>
      </c>
      <c r="B680" t="s">
        <v>14</v>
      </c>
      <c r="C680" t="s">
        <v>15</v>
      </c>
      <c r="D680" t="s">
        <v>81</v>
      </c>
      <c r="E680">
        <v>1</v>
      </c>
      <c r="F680" t="s">
        <v>995</v>
      </c>
      <c r="H680" t="s">
        <v>996</v>
      </c>
      <c r="I680" t="str">
        <f>IF(ISBLANK(H680),"",INDEX(Sheet1!$F$2:$F$936,MATCH(H680,Sheet1!$C$2:$C$936,0)))</f>
        <v>Canada</v>
      </c>
      <c r="J680">
        <v>74602</v>
      </c>
      <c r="M680">
        <v>2720309.79</v>
      </c>
      <c r="N680">
        <v>4.0000000000000002E-4</v>
      </c>
    </row>
    <row r="681" spans="1:14" x14ac:dyDescent="0.35">
      <c r="A681" s="1">
        <v>45657</v>
      </c>
      <c r="B681" t="s">
        <v>14</v>
      </c>
      <c r="C681" t="s">
        <v>15</v>
      </c>
      <c r="D681" t="s">
        <v>81</v>
      </c>
      <c r="E681">
        <v>1</v>
      </c>
      <c r="F681" t="s">
        <v>997</v>
      </c>
      <c r="H681" t="s">
        <v>998</v>
      </c>
      <c r="I681" t="str">
        <f>IF(ISBLANK(H681),"",INDEX(Sheet1!$F$2:$F$936,MATCH(H681,Sheet1!$C$2:$C$936,0)))</f>
        <v>United States</v>
      </c>
      <c r="J681">
        <v>15874</v>
      </c>
      <c r="M681">
        <v>2187934.1639999999</v>
      </c>
      <c r="N681">
        <v>2.9999999999999997E-4</v>
      </c>
    </row>
    <row r="682" spans="1:14" x14ac:dyDescent="0.35">
      <c r="A682" s="1">
        <v>45657</v>
      </c>
      <c r="B682" t="s">
        <v>14</v>
      </c>
      <c r="C682" t="s">
        <v>15</v>
      </c>
      <c r="D682" t="s">
        <v>81</v>
      </c>
      <c r="E682">
        <v>1</v>
      </c>
      <c r="F682" t="s">
        <v>999</v>
      </c>
      <c r="H682" t="s">
        <v>1000</v>
      </c>
      <c r="I682" t="str">
        <f>IF(ISBLANK(H682),"",INDEX(Sheet1!$F$2:$F$936,MATCH(H682,Sheet1!$C$2:$C$936,0)))</f>
        <v>China</v>
      </c>
      <c r="J682">
        <v>34691</v>
      </c>
      <c r="M682">
        <v>5433213.3629999999</v>
      </c>
      <c r="N682">
        <v>8.0000000000000004E-4</v>
      </c>
    </row>
    <row r="683" spans="1:14" x14ac:dyDescent="0.35">
      <c r="A683" s="1">
        <v>45657</v>
      </c>
      <c r="B683" t="s">
        <v>14</v>
      </c>
      <c r="C683" t="s">
        <v>15</v>
      </c>
      <c r="D683" t="s">
        <v>81</v>
      </c>
      <c r="E683">
        <v>1</v>
      </c>
      <c r="F683" t="s">
        <v>1001</v>
      </c>
      <c r="H683" t="s">
        <v>1002</v>
      </c>
      <c r="I683" t="str">
        <f>IF(ISBLANK(H683),"",INDEX(Sheet1!$F$2:$F$936,MATCH(H683,Sheet1!$C$2:$C$936,0)))</f>
        <v>TWD</v>
      </c>
      <c r="J683">
        <v>109663</v>
      </c>
      <c r="M683">
        <v>495949.15480000002</v>
      </c>
      <c r="N683">
        <v>1E-4</v>
      </c>
    </row>
    <row r="684" spans="1:14" x14ac:dyDescent="0.35">
      <c r="A684" s="1">
        <v>45657</v>
      </c>
      <c r="B684" t="s">
        <v>14</v>
      </c>
      <c r="C684" t="s">
        <v>15</v>
      </c>
      <c r="D684" t="s">
        <v>81</v>
      </c>
      <c r="E684">
        <v>1</v>
      </c>
      <c r="F684" t="s">
        <v>1003</v>
      </c>
      <c r="H684" t="s">
        <v>1004</v>
      </c>
      <c r="I684" t="str">
        <f>IF(ISBLANK(H684),"",INDEX(Sheet1!$F$2:$F$936,MATCH(H684,Sheet1!$C$2:$C$936,0)))</f>
        <v>United Kingdom</v>
      </c>
      <c r="J684">
        <v>20093</v>
      </c>
      <c r="M684">
        <v>3265758.51</v>
      </c>
      <c r="N684">
        <v>5.0000000000000001E-4</v>
      </c>
    </row>
    <row r="685" spans="1:14" x14ac:dyDescent="0.35">
      <c r="A685" s="1">
        <v>45657</v>
      </c>
      <c r="B685" t="s">
        <v>14</v>
      </c>
      <c r="C685" t="s">
        <v>15</v>
      </c>
      <c r="D685" t="s">
        <v>81</v>
      </c>
      <c r="E685">
        <v>1</v>
      </c>
      <c r="F685" t="s">
        <v>1005</v>
      </c>
      <c r="H685" t="s">
        <v>1006</v>
      </c>
      <c r="I685" t="str">
        <f>IF(ISBLANK(H685),"",INDEX(Sheet1!$F$2:$F$936,MATCH(H685,Sheet1!$C$2:$C$936,0)))</f>
        <v>Australia</v>
      </c>
      <c r="J685">
        <v>1169652</v>
      </c>
      <c r="M685">
        <v>1643361.1680000001</v>
      </c>
      <c r="N685">
        <v>2.0000000000000001E-4</v>
      </c>
    </row>
    <row r="686" spans="1:14" x14ac:dyDescent="0.35">
      <c r="A686" s="1">
        <v>45657</v>
      </c>
      <c r="B686" t="s">
        <v>14</v>
      </c>
      <c r="C686" t="s">
        <v>15</v>
      </c>
      <c r="D686" t="s">
        <v>81</v>
      </c>
      <c r="E686">
        <v>1</v>
      </c>
      <c r="F686" t="s">
        <v>1007</v>
      </c>
      <c r="H686">
        <v>2681511</v>
      </c>
      <c r="I686" t="str">
        <f>IF(ISBLANK(H686),"",INDEX(Sheet1!$F$2:$F$936,MATCH(H686,Sheet1!$C$2:$C$936,0)))</f>
        <v>United States</v>
      </c>
      <c r="J686">
        <v>42471</v>
      </c>
      <c r="M686">
        <v>10429268.52</v>
      </c>
      <c r="N686">
        <v>1.3999999999999898E-3</v>
      </c>
    </row>
    <row r="687" spans="1:14" x14ac:dyDescent="0.35">
      <c r="A687" s="1">
        <v>45657</v>
      </c>
      <c r="B687" t="s">
        <v>14</v>
      </c>
      <c r="C687" t="s">
        <v>15</v>
      </c>
      <c r="D687" t="s">
        <v>81</v>
      </c>
      <c r="E687">
        <v>1</v>
      </c>
      <c r="F687" t="s">
        <v>1008</v>
      </c>
      <c r="H687" t="s">
        <v>1009</v>
      </c>
      <c r="I687" t="str">
        <f>IF(ISBLANK(H687),"",INDEX(Sheet1!$F$2:$F$936,MATCH(H687,Sheet1!$C$2:$C$936,0)))</f>
        <v>AUD</v>
      </c>
      <c r="J687">
        <v>3083634</v>
      </c>
      <c r="M687">
        <v>4301670.0949999997</v>
      </c>
      <c r="N687">
        <v>5.9999999999999995E-4</v>
      </c>
    </row>
    <row r="688" spans="1:14" x14ac:dyDescent="0.35">
      <c r="A688" s="1">
        <v>45657</v>
      </c>
      <c r="B688" t="s">
        <v>14</v>
      </c>
      <c r="C688" t="s">
        <v>15</v>
      </c>
      <c r="D688" t="s">
        <v>81</v>
      </c>
      <c r="E688">
        <v>1</v>
      </c>
      <c r="F688" t="s">
        <v>1010</v>
      </c>
      <c r="H688">
        <v>4682329</v>
      </c>
      <c r="I688" t="str">
        <f>IF(ISBLANK(H688),"",INDEX(Sheet1!$F$2:$F$936,MATCH(H688,Sheet1!$C$2:$C$936,0)))</f>
        <v>France</v>
      </c>
      <c r="J688">
        <v>14331</v>
      </c>
      <c r="M688">
        <v>2608846.6510000001</v>
      </c>
      <c r="N688">
        <v>4.0000000000000002E-4</v>
      </c>
    </row>
    <row r="689" spans="1:14" x14ac:dyDescent="0.35">
      <c r="A689" s="1">
        <v>45657</v>
      </c>
      <c r="B689" t="s">
        <v>14</v>
      </c>
      <c r="C689" t="s">
        <v>15</v>
      </c>
      <c r="D689" t="s">
        <v>81</v>
      </c>
      <c r="E689">
        <v>1</v>
      </c>
      <c r="F689" t="s">
        <v>1011</v>
      </c>
      <c r="H689" t="s">
        <v>1012</v>
      </c>
      <c r="I689" t="str">
        <f>IF(ISBLANK(H689),"",INDEX(Sheet1!$F$2:$F$936,MATCH(H689,Sheet1!$C$2:$C$936,0)))</f>
        <v>AUD</v>
      </c>
      <c r="J689">
        <v>1162938</v>
      </c>
      <c r="M689">
        <v>2988749.841</v>
      </c>
      <c r="N689">
        <v>4.0000000000000002E-4</v>
      </c>
    </row>
    <row r="690" spans="1:14" x14ac:dyDescent="0.35">
      <c r="A690" s="1">
        <v>45657</v>
      </c>
      <c r="B690" t="s">
        <v>14</v>
      </c>
      <c r="C690" t="s">
        <v>15</v>
      </c>
      <c r="D690" t="s">
        <v>81</v>
      </c>
      <c r="E690">
        <v>1</v>
      </c>
      <c r="F690" t="s">
        <v>1013</v>
      </c>
      <c r="H690" t="s">
        <v>1014</v>
      </c>
      <c r="I690" t="str">
        <f>IF(ISBLANK(H690),"",INDEX(Sheet1!$F$2:$F$936,MATCH(H690,Sheet1!$C$2:$C$936,0)))</f>
        <v>India</v>
      </c>
      <c r="J690">
        <v>219856</v>
      </c>
      <c r="M690">
        <v>1436736.791</v>
      </c>
      <c r="N690">
        <v>2.0000000000000001E-4</v>
      </c>
    </row>
    <row r="691" spans="1:14" x14ac:dyDescent="0.35">
      <c r="A691" s="1">
        <v>45657</v>
      </c>
      <c r="B691" t="s">
        <v>14</v>
      </c>
      <c r="C691" t="s">
        <v>15</v>
      </c>
      <c r="D691" t="s">
        <v>81</v>
      </c>
      <c r="E691">
        <v>1</v>
      </c>
      <c r="F691" t="s">
        <v>1015</v>
      </c>
      <c r="H691" t="s">
        <v>1016</v>
      </c>
      <c r="I691" t="str">
        <f>IF(ISBLANK(H691),"",INDEX(Sheet1!$F$2:$F$936,MATCH(H691,Sheet1!$C$2:$C$936,0)))</f>
        <v>AUD</v>
      </c>
      <c r="J691">
        <v>247205</v>
      </c>
      <c r="M691">
        <v>3228496.6239999998</v>
      </c>
      <c r="N691">
        <v>4.0000000000000002E-4</v>
      </c>
    </row>
    <row r="692" spans="1:14" x14ac:dyDescent="0.35">
      <c r="A692" s="1">
        <v>45657</v>
      </c>
      <c r="B692" t="s">
        <v>14</v>
      </c>
      <c r="C692" t="s">
        <v>15</v>
      </c>
      <c r="D692" t="s">
        <v>81</v>
      </c>
      <c r="E692">
        <v>1</v>
      </c>
      <c r="F692" t="s">
        <v>1017</v>
      </c>
      <c r="H692">
        <v>2684703</v>
      </c>
      <c r="I692" t="str">
        <f>IF(ISBLANK(H692),"",INDEX(Sheet1!$F$2:$F$936,MATCH(H692,Sheet1!$C$2:$C$936,0)))</f>
        <v>United States</v>
      </c>
      <c r="J692">
        <v>84455</v>
      </c>
      <c r="M692">
        <v>3620200.952</v>
      </c>
      <c r="N692">
        <v>5.0000000000000001E-4</v>
      </c>
    </row>
    <row r="693" spans="1:14" x14ac:dyDescent="0.35">
      <c r="A693" s="1">
        <v>45657</v>
      </c>
      <c r="B693" t="s">
        <v>14</v>
      </c>
      <c r="C693" t="s">
        <v>15</v>
      </c>
      <c r="D693" t="s">
        <v>81</v>
      </c>
      <c r="E693">
        <v>1</v>
      </c>
      <c r="F693" t="s">
        <v>1018</v>
      </c>
      <c r="H693">
        <v>2689560</v>
      </c>
      <c r="I693" t="str">
        <f>IF(ISBLANK(H693),"",INDEX(Sheet1!$F$2:$F$936,MATCH(H693,Sheet1!$C$2:$C$936,0)))</f>
        <v>United States</v>
      </c>
      <c r="J693">
        <v>95568</v>
      </c>
      <c r="M693">
        <v>3117926.6579999998</v>
      </c>
      <c r="N693">
        <v>4.0000000000000002E-4</v>
      </c>
    </row>
    <row r="694" spans="1:14" x14ac:dyDescent="0.35">
      <c r="A694" s="1">
        <v>45657</v>
      </c>
      <c r="B694" t="s">
        <v>14</v>
      </c>
      <c r="C694" t="s">
        <v>15</v>
      </c>
      <c r="D694" t="s">
        <v>81</v>
      </c>
      <c r="E694">
        <v>1</v>
      </c>
      <c r="F694" t="s">
        <v>1019</v>
      </c>
      <c r="H694" t="s">
        <v>1020</v>
      </c>
      <c r="I694" t="str">
        <f>IF(ISBLANK(H694),"",INDEX(Sheet1!$F$2:$F$936,MATCH(H694,Sheet1!$C$2:$C$936,0)))</f>
        <v>United States</v>
      </c>
      <c r="J694">
        <v>5123</v>
      </c>
      <c r="M694">
        <v>942371.94160000002</v>
      </c>
      <c r="N694">
        <v>1E-4</v>
      </c>
    </row>
    <row r="695" spans="1:14" x14ac:dyDescent="0.35">
      <c r="A695" s="1">
        <v>45657</v>
      </c>
      <c r="B695" t="s">
        <v>14</v>
      </c>
      <c r="C695" t="s">
        <v>15</v>
      </c>
      <c r="D695" t="s">
        <v>81</v>
      </c>
      <c r="E695">
        <v>1</v>
      </c>
      <c r="F695" t="s">
        <v>1021</v>
      </c>
      <c r="H695">
        <v>6706250</v>
      </c>
      <c r="I695" t="str">
        <f>IF(ISBLANK(H695),"",INDEX(Sheet1!$F$2:$F$936,MATCH(H695,Sheet1!$C$2:$C$936,0)))</f>
        <v>China</v>
      </c>
      <c r="J695">
        <v>92163</v>
      </c>
      <c r="M695">
        <v>234550.98850000001</v>
      </c>
      <c r="N695">
        <v>0</v>
      </c>
    </row>
    <row r="696" spans="1:14" x14ac:dyDescent="0.35">
      <c r="A696" s="1">
        <v>45657</v>
      </c>
      <c r="B696" t="s">
        <v>14</v>
      </c>
      <c r="C696" t="s">
        <v>15</v>
      </c>
      <c r="D696" t="s">
        <v>81</v>
      </c>
      <c r="E696">
        <v>1</v>
      </c>
      <c r="F696" t="s">
        <v>1022</v>
      </c>
      <c r="H696" t="s">
        <v>1023</v>
      </c>
      <c r="I696" t="str">
        <f>IF(ISBLANK(H696),"",INDEX(Sheet1!$F$2:$F$936,MATCH(H696,Sheet1!$C$2:$C$936,0)))</f>
        <v>INR</v>
      </c>
      <c r="J696">
        <v>20267</v>
      </c>
      <c r="M696">
        <v>1108764.94</v>
      </c>
      <c r="N696">
        <v>2.0000000000000001E-4</v>
      </c>
    </row>
    <row r="697" spans="1:14" x14ac:dyDescent="0.35">
      <c r="A697" s="1">
        <v>45657</v>
      </c>
      <c r="B697" t="s">
        <v>14</v>
      </c>
      <c r="C697" t="s">
        <v>15</v>
      </c>
      <c r="D697" t="s">
        <v>81</v>
      </c>
      <c r="E697">
        <v>1</v>
      </c>
      <c r="F697" t="s">
        <v>1024</v>
      </c>
      <c r="H697" t="s">
        <v>1025</v>
      </c>
      <c r="I697" t="str">
        <f>IF(ISBLANK(H697),"",INDEX(Sheet1!$F$2:$F$936,MATCH(H697,Sheet1!$C$2:$C$936,0)))</f>
        <v>Australia</v>
      </c>
      <c r="J697">
        <v>1329311</v>
      </c>
      <c r="M697">
        <v>2911191.7370000002</v>
      </c>
      <c r="N697">
        <v>4.0000000000000002E-4</v>
      </c>
    </row>
    <row r="698" spans="1:14" x14ac:dyDescent="0.35">
      <c r="A698" s="1">
        <v>45657</v>
      </c>
      <c r="B698" t="s">
        <v>14</v>
      </c>
      <c r="C698" t="s">
        <v>15</v>
      </c>
      <c r="D698" t="s">
        <v>81</v>
      </c>
      <c r="E698">
        <v>1</v>
      </c>
      <c r="F698" t="s">
        <v>1026</v>
      </c>
      <c r="H698" t="s">
        <v>1027</v>
      </c>
      <c r="I698" t="str">
        <f>IF(ISBLANK(H698),"",INDEX(Sheet1!$F$2:$F$936,MATCH(H698,Sheet1!$C$2:$C$936,0)))</f>
        <v>China</v>
      </c>
      <c r="J698">
        <v>181993</v>
      </c>
      <c r="M698">
        <v>1742540.9650000001</v>
      </c>
      <c r="N698">
        <v>2.0000000000000001E-4</v>
      </c>
    </row>
    <row r="699" spans="1:14" x14ac:dyDescent="0.35">
      <c r="A699" s="1">
        <v>45657</v>
      </c>
      <c r="B699" t="s">
        <v>14</v>
      </c>
      <c r="C699" t="s">
        <v>15</v>
      </c>
      <c r="D699" t="s">
        <v>81</v>
      </c>
      <c r="E699">
        <v>1</v>
      </c>
      <c r="F699" t="s">
        <v>1026</v>
      </c>
      <c r="H699" t="s">
        <v>1028</v>
      </c>
      <c r="I699" t="str">
        <f>IF(ISBLANK(H699),"",INDEX(Sheet1!$F$2:$F$936,MATCH(H699,Sheet1!$C$2:$C$936,0)))</f>
        <v>CN</v>
      </c>
      <c r="J699">
        <v>49348</v>
      </c>
      <c r="M699">
        <v>574904.47560000001</v>
      </c>
      <c r="N699">
        <v>1E-4</v>
      </c>
    </row>
    <row r="700" spans="1:14" x14ac:dyDescent="0.35">
      <c r="A700" s="1">
        <v>45657</v>
      </c>
      <c r="B700" t="s">
        <v>14</v>
      </c>
      <c r="C700" t="s">
        <v>15</v>
      </c>
      <c r="D700" t="s">
        <v>81</v>
      </c>
      <c r="E700">
        <v>1</v>
      </c>
      <c r="F700" t="s">
        <v>1029</v>
      </c>
      <c r="H700" t="s">
        <v>1030</v>
      </c>
      <c r="I700" t="str">
        <f>IF(ISBLANK(H700),"",INDEX(Sheet1!$F$2:$F$936,MATCH(H700,Sheet1!$C$2:$C$936,0)))</f>
        <v>Australia</v>
      </c>
      <c r="J700">
        <v>35763</v>
      </c>
      <c r="M700">
        <v>817175.11970000004</v>
      </c>
      <c r="N700">
        <v>1E-4</v>
      </c>
    </row>
    <row r="701" spans="1:14" x14ac:dyDescent="0.35">
      <c r="A701" s="1">
        <v>45657</v>
      </c>
      <c r="B701" t="s">
        <v>14</v>
      </c>
      <c r="C701" t="s">
        <v>15</v>
      </c>
      <c r="D701" t="s">
        <v>81</v>
      </c>
      <c r="E701">
        <v>1</v>
      </c>
      <c r="F701" t="s">
        <v>1031</v>
      </c>
      <c r="H701" t="s">
        <v>1032</v>
      </c>
      <c r="I701" t="str">
        <f>IF(ISBLANK(H701),"",INDEX(Sheet1!$F$2:$F$936,MATCH(H701,Sheet1!$C$2:$C$936,0)))</f>
        <v>AUD</v>
      </c>
      <c r="J701">
        <v>1342141</v>
      </c>
      <c r="M701">
        <v>926077.06539999996</v>
      </c>
      <c r="N701">
        <v>1E-4</v>
      </c>
    </row>
    <row r="702" spans="1:14" x14ac:dyDescent="0.35">
      <c r="A702" s="1">
        <v>45657</v>
      </c>
      <c r="B702" t="s">
        <v>14</v>
      </c>
      <c r="C702" t="s">
        <v>15</v>
      </c>
      <c r="D702" t="s">
        <v>81</v>
      </c>
      <c r="E702">
        <v>1</v>
      </c>
      <c r="F702" t="s">
        <v>1033</v>
      </c>
      <c r="H702" t="s">
        <v>1034</v>
      </c>
      <c r="I702" t="str">
        <f>IF(ISBLANK(H702),"",INDEX(Sheet1!$F$2:$F$936,MATCH(H702,Sheet1!$C$2:$C$936,0)))</f>
        <v>AUD</v>
      </c>
      <c r="J702">
        <v>486206</v>
      </c>
      <c r="M702">
        <v>486205.99310000002</v>
      </c>
      <c r="N702">
        <v>1E-4</v>
      </c>
    </row>
    <row r="703" spans="1:14" x14ac:dyDescent="0.35">
      <c r="A703" s="1">
        <v>45657</v>
      </c>
      <c r="B703" t="s">
        <v>14</v>
      </c>
      <c r="C703" t="s">
        <v>15</v>
      </c>
      <c r="D703" t="s">
        <v>81</v>
      </c>
      <c r="E703">
        <v>1</v>
      </c>
      <c r="F703" t="s">
        <v>1035</v>
      </c>
      <c r="H703" t="s">
        <v>1036</v>
      </c>
      <c r="I703" t="str">
        <f>IF(ISBLANK(H703),"",INDEX(Sheet1!$F$2:$F$936,MATCH(H703,Sheet1!$C$2:$C$936,0)))</f>
        <v>HKD</v>
      </c>
      <c r="J703">
        <v>75364</v>
      </c>
      <c r="M703">
        <v>1404790.5430000001</v>
      </c>
      <c r="N703">
        <v>2.0000000000000001E-4</v>
      </c>
    </row>
    <row r="704" spans="1:14" x14ac:dyDescent="0.35">
      <c r="A704" s="1">
        <v>45657</v>
      </c>
      <c r="B704" t="s">
        <v>14</v>
      </c>
      <c r="C704" t="s">
        <v>15</v>
      </c>
      <c r="D704" t="s">
        <v>81</v>
      </c>
      <c r="E704">
        <v>1</v>
      </c>
      <c r="F704" t="s">
        <v>1037</v>
      </c>
      <c r="H704">
        <v>6696157</v>
      </c>
      <c r="I704" t="str">
        <f>IF(ISBLANK(H704),"",INDEX(Sheet1!$F$2:$F$936,MATCH(H704,Sheet1!$C$2:$C$936,0)))</f>
        <v>Taiwan</v>
      </c>
      <c r="J704">
        <v>552980</v>
      </c>
      <c r="M704">
        <v>1005243.63</v>
      </c>
      <c r="N704">
        <v>1E-4</v>
      </c>
    </row>
    <row r="705" spans="1:14" x14ac:dyDescent="0.35">
      <c r="A705" s="1">
        <v>45657</v>
      </c>
      <c r="B705" t="s">
        <v>14</v>
      </c>
      <c r="C705" t="s">
        <v>15</v>
      </c>
      <c r="D705" t="s">
        <v>81</v>
      </c>
      <c r="E705">
        <v>1</v>
      </c>
      <c r="F705" t="s">
        <v>1038</v>
      </c>
      <c r="H705">
        <v>2697701</v>
      </c>
      <c r="I705" t="str">
        <f>IF(ISBLANK(H705),"",INDEX(Sheet1!$F$2:$F$936,MATCH(H705,Sheet1!$C$2:$C$936,0)))</f>
        <v>Canada</v>
      </c>
      <c r="J705">
        <v>63726</v>
      </c>
      <c r="M705">
        <v>3202553.6570000001</v>
      </c>
      <c r="N705">
        <v>4.0000000000000002E-4</v>
      </c>
    </row>
    <row r="706" spans="1:14" x14ac:dyDescent="0.35">
      <c r="A706" s="1">
        <v>45657</v>
      </c>
      <c r="B706" t="s">
        <v>14</v>
      </c>
      <c r="C706" t="s">
        <v>15</v>
      </c>
      <c r="D706" t="s">
        <v>81</v>
      </c>
      <c r="E706">
        <v>1</v>
      </c>
      <c r="F706" t="s">
        <v>1039</v>
      </c>
      <c r="H706" t="s">
        <v>1040</v>
      </c>
      <c r="I706" t="str">
        <f>IF(ISBLANK(H706),"",INDEX(Sheet1!$F$2:$F$936,MATCH(H706,Sheet1!$C$2:$C$936,0)))</f>
        <v>India</v>
      </c>
      <c r="J706">
        <v>114849</v>
      </c>
      <c r="M706">
        <v>972173.10569999996</v>
      </c>
      <c r="N706">
        <v>1E-4</v>
      </c>
    </row>
    <row r="707" spans="1:14" x14ac:dyDescent="0.35">
      <c r="A707" s="1">
        <v>45657</v>
      </c>
      <c r="B707" t="s">
        <v>14</v>
      </c>
      <c r="C707" t="s">
        <v>15</v>
      </c>
      <c r="D707" t="s">
        <v>81</v>
      </c>
      <c r="E707">
        <v>1</v>
      </c>
      <c r="F707" t="s">
        <v>1041</v>
      </c>
      <c r="H707" t="s">
        <v>1042</v>
      </c>
      <c r="I707" t="str">
        <f>IF(ISBLANK(H707),"",INDEX(Sheet1!$F$2:$F$936,MATCH(H707,Sheet1!$C$2:$C$936,0)))</f>
        <v>India</v>
      </c>
      <c r="J707">
        <v>250107</v>
      </c>
      <c r="M707">
        <v>1455833.173</v>
      </c>
      <c r="N707">
        <v>2.0000000000000001E-4</v>
      </c>
    </row>
    <row r="708" spans="1:14" x14ac:dyDescent="0.35">
      <c r="A708" s="1">
        <v>45657</v>
      </c>
      <c r="B708" t="s">
        <v>14</v>
      </c>
      <c r="C708" t="s">
        <v>15</v>
      </c>
      <c r="D708" t="s">
        <v>81</v>
      </c>
      <c r="E708">
        <v>1</v>
      </c>
      <c r="F708" t="s">
        <v>1043</v>
      </c>
      <c r="H708">
        <v>2698470</v>
      </c>
      <c r="I708" t="str">
        <f>IF(ISBLANK(H708),"",INDEX(Sheet1!$F$2:$F$936,MATCH(H708,Sheet1!$C$2:$C$936,0)))</f>
        <v>United States</v>
      </c>
      <c r="J708">
        <v>2473</v>
      </c>
      <c r="M708">
        <v>477032.66070000001</v>
      </c>
      <c r="N708">
        <v>1E-4</v>
      </c>
    </row>
    <row r="709" spans="1:14" x14ac:dyDescent="0.35">
      <c r="A709" s="1">
        <v>45657</v>
      </c>
      <c r="B709" t="s">
        <v>14</v>
      </c>
      <c r="C709" t="s">
        <v>15</v>
      </c>
      <c r="D709" t="s">
        <v>81</v>
      </c>
      <c r="E709">
        <v>1</v>
      </c>
      <c r="F709" t="s">
        <v>1044</v>
      </c>
      <c r="H709" t="s">
        <v>1045</v>
      </c>
      <c r="I709" t="str">
        <f>IF(ISBLANK(H709),"",INDEX(Sheet1!$F$2:$F$936,MATCH(H709,Sheet1!$C$2:$C$936,0)))</f>
        <v>AUD</v>
      </c>
      <c r="J709">
        <v>504549</v>
      </c>
      <c r="M709">
        <v>365798.14630000002</v>
      </c>
      <c r="N709">
        <v>1E-4</v>
      </c>
    </row>
    <row r="710" spans="1:14" x14ac:dyDescent="0.35">
      <c r="A710" s="1">
        <v>45657</v>
      </c>
      <c r="B710" t="s">
        <v>14</v>
      </c>
      <c r="C710" t="s">
        <v>15</v>
      </c>
      <c r="D710" t="s">
        <v>81</v>
      </c>
      <c r="E710">
        <v>1</v>
      </c>
      <c r="F710" t="s">
        <v>1046</v>
      </c>
      <c r="H710">
        <v>6699781</v>
      </c>
      <c r="I710" t="str">
        <f>IF(ISBLANK(H710),"",INDEX(Sheet1!$F$2:$F$936,MATCH(H710,Sheet1!$C$2:$C$936,0)))</f>
        <v>Australia</v>
      </c>
      <c r="J710">
        <v>347425</v>
      </c>
      <c r="M710">
        <v>11141928.6</v>
      </c>
      <c r="N710">
        <v>1.5E-3</v>
      </c>
    </row>
    <row r="711" spans="1:14" x14ac:dyDescent="0.35">
      <c r="A711" s="1">
        <v>45657</v>
      </c>
      <c r="B711" t="s">
        <v>14</v>
      </c>
      <c r="C711" t="s">
        <v>15</v>
      </c>
      <c r="D711" t="s">
        <v>81</v>
      </c>
      <c r="E711">
        <v>1</v>
      </c>
      <c r="F711" t="s">
        <v>1047</v>
      </c>
      <c r="H711">
        <v>2803014</v>
      </c>
      <c r="I711" t="str">
        <f>IF(ISBLANK(H711),"",INDEX(Sheet1!$F$2:$F$936,MATCH(H711,Sheet1!$C$2:$C$936,0)))</f>
        <v>United States</v>
      </c>
      <c r="J711">
        <v>12028</v>
      </c>
      <c r="M711">
        <v>1503875.828</v>
      </c>
      <c r="N711">
        <v>2.0000000000000001E-4</v>
      </c>
    </row>
    <row r="712" spans="1:14" x14ac:dyDescent="0.35">
      <c r="A712" s="1">
        <v>45657</v>
      </c>
      <c r="B712" t="s">
        <v>14</v>
      </c>
      <c r="C712" t="s">
        <v>15</v>
      </c>
      <c r="D712" t="s">
        <v>81</v>
      </c>
      <c r="E712">
        <v>1</v>
      </c>
      <c r="F712" t="s">
        <v>1048</v>
      </c>
      <c r="H712">
        <v>6292782</v>
      </c>
      <c r="I712" t="str">
        <f>IF(ISBLANK(H712),"",INDEX(Sheet1!$F$2:$F$936,MATCH(H712,Sheet1!$C$2:$C$936,0)))</f>
        <v>Australia</v>
      </c>
      <c r="J712">
        <v>20375</v>
      </c>
      <c r="M712">
        <v>5096240.3310000002</v>
      </c>
      <c r="N712">
        <v>6.9999999999999891E-4</v>
      </c>
    </row>
    <row r="713" spans="1:14" x14ac:dyDescent="0.35">
      <c r="A713" s="1">
        <v>45657</v>
      </c>
      <c r="B713" t="s">
        <v>14</v>
      </c>
      <c r="C713" t="s">
        <v>15</v>
      </c>
      <c r="D713" t="s">
        <v>81</v>
      </c>
      <c r="E713">
        <v>1</v>
      </c>
      <c r="F713" t="s">
        <v>1049</v>
      </c>
      <c r="H713">
        <v>2705024</v>
      </c>
      <c r="I713" t="str">
        <f>IF(ISBLANK(H713),"",INDEX(Sheet1!$F$2:$F$936,MATCH(H713,Sheet1!$C$2:$C$936,0)))</f>
        <v>United States</v>
      </c>
      <c r="J713">
        <v>969</v>
      </c>
      <c r="M713">
        <v>375478.76919999998</v>
      </c>
      <c r="N713">
        <v>1E-4</v>
      </c>
    </row>
    <row r="714" spans="1:14" x14ac:dyDescent="0.35">
      <c r="A714" s="1">
        <v>45657</v>
      </c>
      <c r="B714" t="s">
        <v>14</v>
      </c>
      <c r="C714" t="s">
        <v>15</v>
      </c>
      <c r="D714" t="s">
        <v>81</v>
      </c>
      <c r="E714">
        <v>1</v>
      </c>
      <c r="F714" t="s">
        <v>1050</v>
      </c>
      <c r="H714">
        <v>2393388</v>
      </c>
      <c r="I714" t="str">
        <f>IF(ISBLANK(H714),"",INDEX(Sheet1!$F$2:$F$936,MATCH(H714,Sheet1!$C$2:$C$936,0)))</f>
        <v>Mexico</v>
      </c>
      <c r="J714">
        <v>91332</v>
      </c>
      <c r="M714">
        <v>1249536.6910000001</v>
      </c>
      <c r="N714">
        <v>2.0000000000000001E-4</v>
      </c>
    </row>
    <row r="715" spans="1:14" x14ac:dyDescent="0.35">
      <c r="A715" s="1">
        <v>45657</v>
      </c>
      <c r="B715" t="s">
        <v>14</v>
      </c>
      <c r="C715" t="s">
        <v>15</v>
      </c>
      <c r="D715" t="s">
        <v>81</v>
      </c>
      <c r="E715">
        <v>1</v>
      </c>
      <c r="F715" t="s">
        <v>1051</v>
      </c>
      <c r="H715">
        <v>2819118</v>
      </c>
      <c r="I715" t="str">
        <f>IF(ISBLANK(H715),"",INDEX(Sheet1!$F$2:$F$936,MATCH(H715,Sheet1!$C$2:$C$936,0)))</f>
        <v>United States</v>
      </c>
      <c r="J715">
        <v>19682</v>
      </c>
      <c r="M715">
        <v>3769102.5989999999</v>
      </c>
      <c r="N715">
        <v>5.0000000000000001E-4</v>
      </c>
    </row>
    <row r="716" spans="1:14" x14ac:dyDescent="0.35">
      <c r="A716" s="1">
        <v>45657</v>
      </c>
      <c r="B716" t="s">
        <v>14</v>
      </c>
      <c r="C716" t="s">
        <v>15</v>
      </c>
      <c r="D716" t="s">
        <v>81</v>
      </c>
      <c r="E716">
        <v>1</v>
      </c>
      <c r="F716" t="s">
        <v>1052</v>
      </c>
      <c r="H716">
        <v>4380429</v>
      </c>
      <c r="I716" t="str">
        <f>IF(ISBLANK(H716),"",INDEX(Sheet1!$F$2:$F$936,MATCH(H716,Sheet1!$C$2:$C$936,0)))</f>
        <v>France</v>
      </c>
      <c r="J716">
        <v>33665</v>
      </c>
      <c r="M716">
        <v>5765490.3399999999</v>
      </c>
      <c r="N716">
        <v>8.0000000000000004E-4</v>
      </c>
    </row>
    <row r="717" spans="1:14" x14ac:dyDescent="0.35">
      <c r="A717" s="1">
        <v>45657</v>
      </c>
      <c r="B717" t="s">
        <v>14</v>
      </c>
      <c r="C717" t="s">
        <v>15</v>
      </c>
      <c r="D717" t="s">
        <v>81</v>
      </c>
      <c r="E717">
        <v>1</v>
      </c>
      <c r="F717" t="s">
        <v>1053</v>
      </c>
      <c r="H717">
        <v>2708841</v>
      </c>
      <c r="I717" t="str">
        <f>IF(ISBLANK(H717),"",INDEX(Sheet1!$F$2:$F$936,MATCH(H717,Sheet1!$C$2:$C$936,0)))</f>
        <v>United States</v>
      </c>
      <c r="J717">
        <v>15764</v>
      </c>
      <c r="M717">
        <v>2773182.97</v>
      </c>
      <c r="N717">
        <v>4.0000000000000002E-4</v>
      </c>
    </row>
    <row r="718" spans="1:14" x14ac:dyDescent="0.35">
      <c r="A718" s="1">
        <v>45657</v>
      </c>
      <c r="B718" t="s">
        <v>14</v>
      </c>
      <c r="C718" t="s">
        <v>15</v>
      </c>
      <c r="D718" t="s">
        <v>81</v>
      </c>
      <c r="E718">
        <v>1</v>
      </c>
      <c r="F718" t="s">
        <v>1054</v>
      </c>
      <c r="H718">
        <v>6710347</v>
      </c>
      <c r="I718" t="str">
        <f>IF(ISBLANK(H718),"",INDEX(Sheet1!$F$2:$F$936,MATCH(H718,Sheet1!$C$2:$C$936,0)))</f>
        <v>Australia</v>
      </c>
      <c r="J718">
        <v>200119</v>
      </c>
      <c r="M718">
        <v>1795066.64</v>
      </c>
      <c r="N718">
        <v>2.0000000000000001E-4</v>
      </c>
    </row>
    <row r="719" spans="1:14" x14ac:dyDescent="0.35">
      <c r="A719" s="1">
        <v>45657</v>
      </c>
      <c r="B719" t="s">
        <v>14</v>
      </c>
      <c r="C719" t="s">
        <v>15</v>
      </c>
      <c r="D719" t="s">
        <v>81</v>
      </c>
      <c r="E719">
        <v>1</v>
      </c>
      <c r="F719" t="s">
        <v>1055</v>
      </c>
      <c r="H719">
        <v>6713982</v>
      </c>
      <c r="I719" t="str">
        <f>IF(ISBLANK(H719),"",INDEX(Sheet1!$F$2:$F$936,MATCH(H719,Sheet1!$C$2:$C$936,0)))</f>
        <v>QAR</v>
      </c>
      <c r="J719">
        <v>49251</v>
      </c>
      <c r="M719">
        <v>457705.25809999998</v>
      </c>
      <c r="N719">
        <v>1E-4</v>
      </c>
    </row>
    <row r="720" spans="1:14" x14ac:dyDescent="0.35">
      <c r="A720" s="1">
        <v>45657</v>
      </c>
      <c r="B720" t="s">
        <v>14</v>
      </c>
      <c r="C720" t="s">
        <v>15</v>
      </c>
      <c r="D720" t="s">
        <v>81</v>
      </c>
      <c r="E720">
        <v>1</v>
      </c>
      <c r="F720" t="s">
        <v>1056</v>
      </c>
      <c r="H720">
        <v>6148197</v>
      </c>
      <c r="I720" t="str">
        <f>IF(ISBLANK(H720),"",INDEX(Sheet1!$F$2:$F$936,MATCH(H720,Sheet1!$C$2:$C$936,0)))</f>
        <v>QAR</v>
      </c>
      <c r="J720">
        <v>14295</v>
      </c>
      <c r="M720">
        <v>108562.1486</v>
      </c>
      <c r="N720">
        <v>0</v>
      </c>
    </row>
    <row r="721" spans="1:14" x14ac:dyDescent="0.35">
      <c r="A721" s="1">
        <v>45657</v>
      </c>
      <c r="B721" t="s">
        <v>14</v>
      </c>
      <c r="C721" t="s">
        <v>15</v>
      </c>
      <c r="D721" t="s">
        <v>81</v>
      </c>
      <c r="E721">
        <v>1</v>
      </c>
      <c r="F721" t="s">
        <v>1057</v>
      </c>
      <c r="H721">
        <v>6715740</v>
      </c>
      <c r="I721" t="str">
        <f>IF(ISBLANK(H721),"",INDEX(Sheet1!$F$2:$F$936,MATCH(H721,Sheet1!$C$2:$C$936,0)))</f>
        <v>Australia</v>
      </c>
      <c r="J721">
        <v>562321</v>
      </c>
      <c r="M721">
        <v>10796568.57</v>
      </c>
      <c r="N721">
        <v>1.5E-3</v>
      </c>
    </row>
    <row r="722" spans="1:14" x14ac:dyDescent="0.35">
      <c r="A722" s="1">
        <v>45657</v>
      </c>
      <c r="B722" t="s">
        <v>14</v>
      </c>
      <c r="C722" t="s">
        <v>15</v>
      </c>
      <c r="D722" t="s">
        <v>81</v>
      </c>
      <c r="E722">
        <v>1</v>
      </c>
      <c r="F722" t="s">
        <v>1058</v>
      </c>
      <c r="H722" t="s">
        <v>1059</v>
      </c>
      <c r="I722" t="str">
        <f>IF(ISBLANK(H722),"",INDEX(Sheet1!$F$2:$F$936,MATCH(H722,Sheet1!$C$2:$C$936,0)))</f>
        <v>USD</v>
      </c>
      <c r="J722">
        <v>22390</v>
      </c>
      <c r="M722">
        <v>1387943.2379999999</v>
      </c>
      <c r="N722">
        <v>2.0000000000000001E-4</v>
      </c>
    </row>
    <row r="723" spans="1:14" x14ac:dyDescent="0.35">
      <c r="A723" s="1">
        <v>45657</v>
      </c>
      <c r="B723" t="s">
        <v>14</v>
      </c>
      <c r="C723" t="s">
        <v>15</v>
      </c>
      <c r="D723" t="s">
        <v>81</v>
      </c>
      <c r="E723">
        <v>1</v>
      </c>
      <c r="F723" t="s">
        <v>1060</v>
      </c>
      <c r="H723">
        <v>2714923</v>
      </c>
      <c r="I723" t="str">
        <f>IF(ISBLANK(H723),"",INDEX(Sheet1!$F$2:$F$936,MATCH(H723,Sheet1!$C$2:$C$936,0)))</f>
        <v>United States</v>
      </c>
      <c r="J723">
        <v>26465</v>
      </c>
      <c r="M723">
        <v>6566315.2560000001</v>
      </c>
      <c r="N723">
        <v>8.9999999999999998E-4</v>
      </c>
    </row>
    <row r="724" spans="1:14" x14ac:dyDescent="0.35">
      <c r="A724" s="1">
        <v>45657</v>
      </c>
      <c r="B724" t="s">
        <v>14</v>
      </c>
      <c r="C724" t="s">
        <v>15</v>
      </c>
      <c r="D724" t="s">
        <v>81</v>
      </c>
      <c r="E724">
        <v>1</v>
      </c>
      <c r="F724" t="s">
        <v>1061</v>
      </c>
      <c r="H724" t="s">
        <v>1062</v>
      </c>
      <c r="I724" t="str">
        <f>IF(ISBLANK(H724),"",INDEX(Sheet1!$F$2:$F$936,MATCH(H724,Sheet1!$C$2:$C$936,0)))</f>
        <v>Australia</v>
      </c>
      <c r="J724">
        <v>648263</v>
      </c>
      <c r="M724">
        <v>2573602.6519999998</v>
      </c>
      <c r="N724">
        <v>4.0000000000000002E-4</v>
      </c>
    </row>
    <row r="725" spans="1:14" x14ac:dyDescent="0.35">
      <c r="A725" s="1">
        <v>45657</v>
      </c>
      <c r="B725" t="s">
        <v>14</v>
      </c>
      <c r="C725" t="s">
        <v>15</v>
      </c>
      <c r="D725" t="s">
        <v>81</v>
      </c>
      <c r="E725">
        <v>1</v>
      </c>
      <c r="F725" t="s">
        <v>1063</v>
      </c>
      <c r="H725">
        <v>2702791</v>
      </c>
      <c r="I725" t="str">
        <f>IF(ISBLANK(H725),"",INDEX(Sheet1!$F$2:$F$936,MATCH(H725,Sheet1!$C$2:$C$936,0)))</f>
        <v>United States</v>
      </c>
      <c r="J725">
        <v>1283</v>
      </c>
      <c r="M725">
        <v>312847.1606</v>
      </c>
      <c r="N725">
        <v>0</v>
      </c>
    </row>
    <row r="726" spans="1:14" x14ac:dyDescent="0.35">
      <c r="A726" s="1">
        <v>45657</v>
      </c>
      <c r="B726" t="s">
        <v>14</v>
      </c>
      <c r="C726" t="s">
        <v>15</v>
      </c>
      <c r="D726" t="s">
        <v>81</v>
      </c>
      <c r="E726">
        <v>1</v>
      </c>
      <c r="F726" t="s">
        <v>1064</v>
      </c>
      <c r="H726" t="s">
        <v>1065</v>
      </c>
      <c r="I726" t="str">
        <f>IF(ISBLANK(H726),"",INDEX(Sheet1!$F$2:$F$936,MATCH(H726,Sheet1!$C$2:$C$936,0)))</f>
        <v>BRL</v>
      </c>
      <c r="J726">
        <v>254997</v>
      </c>
      <c r="M726">
        <v>1465977.7790000001</v>
      </c>
      <c r="N726">
        <v>2.0000000000000001E-4</v>
      </c>
    </row>
    <row r="727" spans="1:14" x14ac:dyDescent="0.35">
      <c r="A727" s="1">
        <v>45657</v>
      </c>
      <c r="B727" t="s">
        <v>14</v>
      </c>
      <c r="C727" t="s">
        <v>15</v>
      </c>
      <c r="D727" t="s">
        <v>81</v>
      </c>
      <c r="E727">
        <v>1</v>
      </c>
      <c r="F727" t="s">
        <v>1066</v>
      </c>
      <c r="H727">
        <v>6586872</v>
      </c>
      <c r="I727" t="str">
        <f>IF(ISBLANK(H727),"",INDEX(Sheet1!$F$2:$F$936,MATCH(H727,Sheet1!$C$2:$C$936,0)))</f>
        <v>AUD</v>
      </c>
      <c r="J727">
        <v>512661</v>
      </c>
      <c r="M727">
        <v>1061207.8659999999</v>
      </c>
      <c r="N727">
        <v>1E-4</v>
      </c>
    </row>
    <row r="728" spans="1:14" x14ac:dyDescent="0.35">
      <c r="A728" s="1">
        <v>45657</v>
      </c>
      <c r="B728" t="s">
        <v>14</v>
      </c>
      <c r="C728" t="s">
        <v>15</v>
      </c>
      <c r="D728" t="s">
        <v>81</v>
      </c>
      <c r="E728">
        <v>1</v>
      </c>
      <c r="F728" t="s">
        <v>1067</v>
      </c>
      <c r="H728">
        <v>6041995</v>
      </c>
      <c r="I728" t="str">
        <f>IF(ISBLANK(H728),"",INDEX(Sheet1!$F$2:$F$936,MATCH(H728,Sheet1!$C$2:$C$936,0)))</f>
        <v>Australia</v>
      </c>
      <c r="J728">
        <v>67178</v>
      </c>
      <c r="M728">
        <v>2320323.969</v>
      </c>
      <c r="N728">
        <v>2.9999999999999997E-4</v>
      </c>
    </row>
    <row r="729" spans="1:14" x14ac:dyDescent="0.35">
      <c r="A729" s="1">
        <v>45657</v>
      </c>
      <c r="B729" t="s">
        <v>14</v>
      </c>
      <c r="C729" t="s">
        <v>15</v>
      </c>
      <c r="D729" t="s">
        <v>81</v>
      </c>
      <c r="E729">
        <v>1</v>
      </c>
      <c r="F729" t="s">
        <v>1068</v>
      </c>
      <c r="H729">
        <v>6198578</v>
      </c>
      <c r="I729" t="str">
        <f>IF(ISBLANK(H729),"",INDEX(Sheet1!$F$2:$F$936,MATCH(H729,Sheet1!$C$2:$C$936,0)))</f>
        <v>Australia</v>
      </c>
      <c r="J729">
        <v>19720</v>
      </c>
      <c r="M729">
        <v>4600874.7439999999</v>
      </c>
      <c r="N729">
        <v>5.9999999999999995E-4</v>
      </c>
    </row>
    <row r="730" spans="1:14" x14ac:dyDescent="0.35">
      <c r="A730" s="1">
        <v>45657</v>
      </c>
      <c r="B730" t="s">
        <v>14</v>
      </c>
      <c r="C730" t="s">
        <v>15</v>
      </c>
      <c r="D730" t="s">
        <v>81</v>
      </c>
      <c r="E730">
        <v>1</v>
      </c>
      <c r="F730" t="s">
        <v>1069</v>
      </c>
      <c r="H730">
        <v>6051422</v>
      </c>
      <c r="I730" t="str">
        <f>IF(ISBLANK(H730),"",INDEX(Sheet1!$F$2:$F$936,MATCH(H730,Sheet1!$C$2:$C$936,0)))</f>
        <v>TWD</v>
      </c>
      <c r="J730">
        <v>58331</v>
      </c>
      <c r="M730">
        <v>1626496.209</v>
      </c>
      <c r="N730">
        <v>2.0000000000000001E-4</v>
      </c>
    </row>
    <row r="731" spans="1:14" x14ac:dyDescent="0.35">
      <c r="A731" s="1">
        <v>45657</v>
      </c>
      <c r="B731" t="s">
        <v>14</v>
      </c>
      <c r="C731" t="s">
        <v>15</v>
      </c>
      <c r="D731" t="s">
        <v>81</v>
      </c>
      <c r="E731">
        <v>1</v>
      </c>
      <c r="F731" t="s">
        <v>1070</v>
      </c>
      <c r="H731" t="s">
        <v>1071</v>
      </c>
      <c r="I731" t="str">
        <f>IF(ISBLANK(H731),"",INDEX(Sheet1!$F$2:$F$936,MATCH(H731,Sheet1!$C$2:$C$936,0)))</f>
        <v>India</v>
      </c>
      <c r="J731">
        <v>73459</v>
      </c>
      <c r="M731">
        <v>695054.57030000002</v>
      </c>
      <c r="N731">
        <v>1E-4</v>
      </c>
    </row>
    <row r="732" spans="1:14" x14ac:dyDescent="0.35">
      <c r="A732" s="1">
        <v>45657</v>
      </c>
      <c r="B732" t="s">
        <v>14</v>
      </c>
      <c r="C732" t="s">
        <v>15</v>
      </c>
      <c r="D732" t="s">
        <v>81</v>
      </c>
      <c r="E732">
        <v>1</v>
      </c>
      <c r="F732" t="s">
        <v>1072</v>
      </c>
      <c r="H732" t="s">
        <v>1073</v>
      </c>
      <c r="I732" t="str">
        <f>IF(ISBLANK(H732),"",INDEX(Sheet1!$F$2:$F$936,MATCH(H732,Sheet1!$C$2:$C$936,0)))</f>
        <v>Japan</v>
      </c>
      <c r="J732">
        <v>15749</v>
      </c>
      <c r="M732">
        <v>1803877.352</v>
      </c>
      <c r="N732">
        <v>2.9999999999999997E-4</v>
      </c>
    </row>
    <row r="733" spans="1:14" x14ac:dyDescent="0.35">
      <c r="A733" s="1">
        <v>45657</v>
      </c>
      <c r="B733" t="s">
        <v>14</v>
      </c>
      <c r="C733" t="s">
        <v>15</v>
      </c>
      <c r="D733" t="s">
        <v>81</v>
      </c>
      <c r="E733">
        <v>1</v>
      </c>
      <c r="F733" t="s">
        <v>1074</v>
      </c>
      <c r="H733" t="s">
        <v>1075</v>
      </c>
      <c r="I733" t="str">
        <f>IF(ISBLANK(H733),"",INDEX(Sheet1!$F$2:$F$936,MATCH(H733,Sheet1!$C$2:$C$936,0)))</f>
        <v>AUD</v>
      </c>
      <c r="J733">
        <v>274403</v>
      </c>
      <c r="M733">
        <v>1248535.514</v>
      </c>
      <c r="N733">
        <v>2.0000000000000001E-4</v>
      </c>
    </row>
    <row r="734" spans="1:14" x14ac:dyDescent="0.35">
      <c r="A734" s="1">
        <v>45657</v>
      </c>
      <c r="B734" t="s">
        <v>14</v>
      </c>
      <c r="C734" t="s">
        <v>15</v>
      </c>
      <c r="D734" t="s">
        <v>81</v>
      </c>
      <c r="E734">
        <v>1</v>
      </c>
      <c r="F734" t="s">
        <v>1076</v>
      </c>
      <c r="H734">
        <v>6728801</v>
      </c>
      <c r="I734" t="str">
        <f>IF(ISBLANK(H734),"",INDEX(Sheet1!$F$2:$F$936,MATCH(H734,Sheet1!$C$2:$C$936,0)))</f>
        <v>Australia</v>
      </c>
      <c r="J734">
        <v>155475</v>
      </c>
      <c r="M734">
        <v>3479533.3029999998</v>
      </c>
      <c r="N734">
        <v>5.0000000000000001E-4</v>
      </c>
    </row>
    <row r="735" spans="1:14" x14ac:dyDescent="0.35">
      <c r="A735" s="1">
        <v>45657</v>
      </c>
      <c r="B735" t="s">
        <v>14</v>
      </c>
      <c r="C735" t="s">
        <v>15</v>
      </c>
      <c r="D735" t="s">
        <v>81</v>
      </c>
      <c r="E735">
        <v>1</v>
      </c>
      <c r="F735" t="s">
        <v>1077</v>
      </c>
      <c r="H735" t="s">
        <v>1078</v>
      </c>
      <c r="I735" t="str">
        <f>IF(ISBLANK(H735),"",INDEX(Sheet1!$F$2:$F$936,MATCH(H735,Sheet1!$C$2:$C$936,0)))</f>
        <v>AUD</v>
      </c>
      <c r="J735">
        <v>144872</v>
      </c>
      <c r="M735">
        <v>869234.73959999997</v>
      </c>
      <c r="N735">
        <v>1E-4</v>
      </c>
    </row>
    <row r="736" spans="1:14" x14ac:dyDescent="0.35">
      <c r="A736" s="1">
        <v>45657</v>
      </c>
      <c r="B736" t="s">
        <v>14</v>
      </c>
      <c r="C736" t="s">
        <v>15</v>
      </c>
      <c r="D736" t="s">
        <v>81</v>
      </c>
      <c r="E736">
        <v>1</v>
      </c>
      <c r="F736" t="s">
        <v>1079</v>
      </c>
      <c r="H736">
        <v>6476542</v>
      </c>
      <c r="I736" t="str">
        <f>IF(ISBLANK(H736),"",INDEX(Sheet1!$F$2:$F$936,MATCH(H736,Sheet1!$C$2:$C$936,0)))</f>
        <v>AUD</v>
      </c>
      <c r="J736">
        <v>910006</v>
      </c>
      <c r="M736">
        <v>2320514.372</v>
      </c>
      <c r="N736">
        <v>2.9999999999999997E-4</v>
      </c>
    </row>
    <row r="737" spans="1:14" x14ac:dyDescent="0.35">
      <c r="A737" s="1">
        <v>45657</v>
      </c>
      <c r="B737" t="s">
        <v>14</v>
      </c>
      <c r="C737" t="s">
        <v>15</v>
      </c>
      <c r="D737" t="s">
        <v>81</v>
      </c>
      <c r="E737">
        <v>1</v>
      </c>
      <c r="F737" t="s">
        <v>1080</v>
      </c>
      <c r="H737">
        <v>6099626</v>
      </c>
      <c r="I737" t="str">
        <f>IF(ISBLANK(H737),"",INDEX(Sheet1!$F$2:$F$936,MATCH(H737,Sheet1!$C$2:$C$936,0)))</f>
        <v>INR</v>
      </c>
      <c r="J737">
        <v>150700</v>
      </c>
      <c r="M737">
        <v>3457068.3319999999</v>
      </c>
      <c r="N737">
        <v>5.0000000000000001E-4</v>
      </c>
    </row>
    <row r="738" spans="1:14" x14ac:dyDescent="0.35">
      <c r="A738" s="1">
        <v>45657</v>
      </c>
      <c r="B738" t="s">
        <v>14</v>
      </c>
      <c r="C738" t="s">
        <v>15</v>
      </c>
      <c r="D738" t="s">
        <v>81</v>
      </c>
      <c r="E738">
        <v>1</v>
      </c>
      <c r="F738" t="s">
        <v>1081</v>
      </c>
      <c r="H738" t="s">
        <v>1082</v>
      </c>
      <c r="I738" t="str">
        <f>IF(ISBLANK(H738),"",INDEX(Sheet1!$F$2:$F$936,MATCH(H738,Sheet1!$C$2:$C$936,0)))</f>
        <v>Australia</v>
      </c>
      <c r="J738">
        <v>882588</v>
      </c>
      <c r="M738">
        <v>4430590.1500000004</v>
      </c>
      <c r="N738">
        <v>5.9999999999999995E-4</v>
      </c>
    </row>
    <row r="739" spans="1:14" x14ac:dyDescent="0.35">
      <c r="A739" s="1">
        <v>45657</v>
      </c>
      <c r="B739" t="s">
        <v>14</v>
      </c>
      <c r="C739" t="s">
        <v>15</v>
      </c>
      <c r="D739" t="s">
        <v>81</v>
      </c>
      <c r="E739">
        <v>1</v>
      </c>
      <c r="F739" t="s">
        <v>1083</v>
      </c>
      <c r="H739" t="s">
        <v>1084</v>
      </c>
      <c r="I739" t="str">
        <f>IF(ISBLANK(H739),"",INDEX(Sheet1!$F$2:$F$936,MATCH(H739,Sheet1!$C$2:$C$936,0)))</f>
        <v>AUD</v>
      </c>
      <c r="J739">
        <v>824728</v>
      </c>
      <c r="M739">
        <v>30267507.93</v>
      </c>
      <c r="N739">
        <v>4.1999999999999997E-3</v>
      </c>
    </row>
    <row r="740" spans="1:14" x14ac:dyDescent="0.35">
      <c r="A740" s="1">
        <v>45657</v>
      </c>
      <c r="B740" t="s">
        <v>14</v>
      </c>
      <c r="C740" t="s">
        <v>15</v>
      </c>
      <c r="D740" t="s">
        <v>81</v>
      </c>
      <c r="E740">
        <v>1</v>
      </c>
      <c r="F740" t="s">
        <v>1085</v>
      </c>
      <c r="H740">
        <v>6410636</v>
      </c>
      <c r="I740" t="str">
        <f>IF(ISBLANK(H740),"",INDEX(Sheet1!$F$2:$F$936,MATCH(H740,Sheet1!$C$2:$C$936,0)))</f>
        <v>AUD</v>
      </c>
      <c r="J740">
        <v>2273304</v>
      </c>
      <c r="M740">
        <v>897955.02540000004</v>
      </c>
      <c r="N740">
        <v>1E-4</v>
      </c>
    </row>
    <row r="741" spans="1:14" x14ac:dyDescent="0.35">
      <c r="A741" s="1">
        <v>45657</v>
      </c>
      <c r="B741" t="s">
        <v>14</v>
      </c>
      <c r="C741" t="s">
        <v>15</v>
      </c>
      <c r="D741" t="s">
        <v>81</v>
      </c>
      <c r="E741">
        <v>1</v>
      </c>
      <c r="F741" t="s">
        <v>1086</v>
      </c>
      <c r="H741" t="s">
        <v>1087</v>
      </c>
      <c r="I741" t="str">
        <f>IF(ISBLANK(H741),"",INDEX(Sheet1!$F$2:$F$936,MATCH(H741,Sheet1!$C$2:$C$936,0)))</f>
        <v>France</v>
      </c>
      <c r="J741">
        <v>40860</v>
      </c>
      <c r="M741">
        <v>1681095.3230000001</v>
      </c>
      <c r="N741">
        <v>2.0000000000000001E-4</v>
      </c>
    </row>
    <row r="742" spans="1:14" x14ac:dyDescent="0.35">
      <c r="A742" s="1">
        <v>45657</v>
      </c>
      <c r="B742" t="s">
        <v>14</v>
      </c>
      <c r="C742" t="s">
        <v>15</v>
      </c>
      <c r="D742" t="s">
        <v>81</v>
      </c>
      <c r="E742">
        <v>1</v>
      </c>
      <c r="F742" t="s">
        <v>1088</v>
      </c>
      <c r="H742">
        <v>6738929</v>
      </c>
      <c r="I742" t="str">
        <f>IF(ISBLANK(H742),"",INDEX(Sheet1!$F$2:$F$936,MATCH(H742,Sheet1!$C$2:$C$936,0)))</f>
        <v>AUD</v>
      </c>
      <c r="J742">
        <v>404729</v>
      </c>
      <c r="M742">
        <v>1092767.872</v>
      </c>
      <c r="N742">
        <v>2.0000000000000001E-4</v>
      </c>
    </row>
    <row r="743" spans="1:14" x14ac:dyDescent="0.35">
      <c r="A743" s="1">
        <v>45657</v>
      </c>
      <c r="B743" t="s">
        <v>14</v>
      </c>
      <c r="C743" t="s">
        <v>15</v>
      </c>
      <c r="D743" t="s">
        <v>81</v>
      </c>
      <c r="E743">
        <v>1</v>
      </c>
      <c r="F743" t="s">
        <v>1089</v>
      </c>
      <c r="H743">
        <v>6220103</v>
      </c>
      <c r="I743" t="str">
        <f>IF(ISBLANK(H743),"",INDEX(Sheet1!$F$2:$F$936,MATCH(H743,Sheet1!$C$2:$C$936,0)))</f>
        <v>Australia</v>
      </c>
      <c r="J743">
        <v>220389</v>
      </c>
      <c r="M743">
        <v>25886903.829999998</v>
      </c>
      <c r="N743">
        <v>3.5999999999999999E-3</v>
      </c>
    </row>
    <row r="744" spans="1:14" x14ac:dyDescent="0.35">
      <c r="A744" s="1">
        <v>45657</v>
      </c>
      <c r="B744" t="s">
        <v>14</v>
      </c>
      <c r="C744" t="s">
        <v>15</v>
      </c>
      <c r="D744" t="s">
        <v>81</v>
      </c>
      <c r="E744">
        <v>1</v>
      </c>
      <c r="F744" t="s">
        <v>1090</v>
      </c>
      <c r="H744">
        <v>718875</v>
      </c>
      <c r="I744" t="str">
        <f>IF(ISBLANK(H744),"",INDEX(Sheet1!$F$2:$F$936,MATCH(H744,Sheet1!$C$2:$C$936,0)))</f>
        <v>United Kingdom</v>
      </c>
      <c r="J744">
        <v>8327</v>
      </c>
      <c r="M744">
        <v>795503.89599999995</v>
      </c>
      <c r="N744">
        <v>1E-4</v>
      </c>
    </row>
    <row r="745" spans="1:14" x14ac:dyDescent="0.35">
      <c r="A745" s="1">
        <v>45657</v>
      </c>
      <c r="B745" t="s">
        <v>14</v>
      </c>
      <c r="C745" t="s">
        <v>15</v>
      </c>
      <c r="D745" t="s">
        <v>81</v>
      </c>
      <c r="E745">
        <v>1</v>
      </c>
      <c r="F745" t="s">
        <v>1091</v>
      </c>
      <c r="H745" t="s">
        <v>1092</v>
      </c>
      <c r="I745" t="str">
        <f>IF(ISBLANK(H745),"",INDEX(Sheet1!$F$2:$F$936,MATCH(H745,Sheet1!$C$2:$C$936,0)))</f>
        <v>United States</v>
      </c>
      <c r="J745">
        <v>62055</v>
      </c>
      <c r="M745">
        <v>1334011.892</v>
      </c>
      <c r="N745">
        <v>2.0000000000000001E-4</v>
      </c>
    </row>
    <row r="746" spans="1:14" x14ac:dyDescent="0.35">
      <c r="A746" s="1">
        <v>45657</v>
      </c>
      <c r="B746" t="s">
        <v>14</v>
      </c>
      <c r="C746" t="s">
        <v>15</v>
      </c>
      <c r="D746" t="s">
        <v>81</v>
      </c>
      <c r="E746">
        <v>1</v>
      </c>
      <c r="F746" t="s">
        <v>1093</v>
      </c>
      <c r="H746" t="s">
        <v>1094</v>
      </c>
      <c r="I746" t="str">
        <f>IF(ISBLANK(H746),"",INDEX(Sheet1!$F$2:$F$936,MATCH(H746,Sheet1!$C$2:$C$936,0)))</f>
        <v>United States</v>
      </c>
      <c r="J746">
        <v>24727</v>
      </c>
      <c r="M746">
        <v>2310378.0189999999</v>
      </c>
      <c r="N746">
        <v>2.9999999999999997E-4</v>
      </c>
    </row>
    <row r="747" spans="1:14" x14ac:dyDescent="0.35">
      <c r="A747" s="1">
        <v>45657</v>
      </c>
      <c r="B747" t="s">
        <v>14</v>
      </c>
      <c r="C747" t="s">
        <v>15</v>
      </c>
      <c r="D747" t="s">
        <v>81</v>
      </c>
      <c r="E747">
        <v>1</v>
      </c>
      <c r="F747" t="s">
        <v>1095</v>
      </c>
      <c r="H747">
        <v>7110388</v>
      </c>
      <c r="I747" t="str">
        <f>IF(ISBLANK(H747),"",INDEX(Sheet1!$F$2:$F$936,MATCH(H747,Sheet1!$C$2:$C$936,0)))</f>
        <v>Switzerland</v>
      </c>
      <c r="J747">
        <v>36789</v>
      </c>
      <c r="M747">
        <v>16738870.73</v>
      </c>
      <c r="N747">
        <v>2.29999999999999E-3</v>
      </c>
    </row>
    <row r="748" spans="1:14" x14ac:dyDescent="0.35">
      <c r="A748" s="1">
        <v>45657</v>
      </c>
      <c r="B748" t="s">
        <v>14</v>
      </c>
      <c r="C748" t="s">
        <v>15</v>
      </c>
      <c r="D748" t="s">
        <v>81</v>
      </c>
      <c r="E748">
        <v>1</v>
      </c>
      <c r="F748" t="s">
        <v>1096</v>
      </c>
      <c r="H748">
        <v>2746711</v>
      </c>
      <c r="I748" t="str">
        <f>IF(ISBLANK(H748),"",INDEX(Sheet1!$F$2:$F$936,MATCH(H748,Sheet1!$C$2:$C$936,0)))</f>
        <v>United States</v>
      </c>
      <c r="J748">
        <v>1186</v>
      </c>
      <c r="M748">
        <v>289873.78840000002</v>
      </c>
      <c r="N748">
        <v>0</v>
      </c>
    </row>
    <row r="749" spans="1:14" x14ac:dyDescent="0.35">
      <c r="A749" s="1">
        <v>45657</v>
      </c>
      <c r="B749" t="s">
        <v>14</v>
      </c>
      <c r="C749" t="s">
        <v>15</v>
      </c>
      <c r="D749" t="s">
        <v>81</v>
      </c>
      <c r="E749">
        <v>1</v>
      </c>
      <c r="F749" t="s">
        <v>1097</v>
      </c>
      <c r="H749">
        <v>2754383</v>
      </c>
      <c r="I749" t="str">
        <f>IF(ISBLANK(H749),"",INDEX(Sheet1!$F$2:$F$936,MATCH(H749,Sheet1!$C$2:$C$936,0)))</f>
        <v>Canada</v>
      </c>
      <c r="J749">
        <v>4042</v>
      </c>
      <c r="M749">
        <v>786579.30090000003</v>
      </c>
      <c r="N749">
        <v>1E-4</v>
      </c>
    </row>
    <row r="750" spans="1:14" x14ac:dyDescent="0.35">
      <c r="A750" s="1">
        <v>45657</v>
      </c>
      <c r="B750" t="s">
        <v>14</v>
      </c>
      <c r="C750" t="s">
        <v>15</v>
      </c>
      <c r="D750" t="s">
        <v>81</v>
      </c>
      <c r="E750">
        <v>1</v>
      </c>
      <c r="F750" t="s">
        <v>1098</v>
      </c>
      <c r="H750">
        <v>2756174</v>
      </c>
      <c r="I750" t="str">
        <f>IF(ISBLANK(H750),"",INDEX(Sheet1!$F$2:$F$936,MATCH(H750,Sheet1!$C$2:$C$936,0)))</f>
        <v>United States</v>
      </c>
      <c r="J750">
        <v>15976</v>
      </c>
      <c r="M750">
        <v>3175398.8</v>
      </c>
      <c r="N750">
        <v>4.0000000000000002E-4</v>
      </c>
    </row>
    <row r="751" spans="1:14" x14ac:dyDescent="0.35">
      <c r="A751" s="1">
        <v>45657</v>
      </c>
      <c r="B751" t="s">
        <v>14</v>
      </c>
      <c r="C751" t="s">
        <v>15</v>
      </c>
      <c r="D751" t="s">
        <v>81</v>
      </c>
      <c r="E751">
        <v>1</v>
      </c>
      <c r="F751" t="s">
        <v>1099</v>
      </c>
      <c r="H751" t="s">
        <v>1100</v>
      </c>
      <c r="I751" t="str">
        <f>IF(ISBLANK(H751),"",INDEX(Sheet1!$F$2:$F$936,MATCH(H751,Sheet1!$C$2:$C$936,0)))</f>
        <v>United States</v>
      </c>
      <c r="J751">
        <v>78591</v>
      </c>
      <c r="M751">
        <v>14690122.689999999</v>
      </c>
      <c r="N751">
        <v>2E-3</v>
      </c>
    </row>
    <row r="752" spans="1:14" x14ac:dyDescent="0.35">
      <c r="A752" s="1">
        <v>45657</v>
      </c>
      <c r="B752" t="s">
        <v>14</v>
      </c>
      <c r="C752" t="s">
        <v>15</v>
      </c>
      <c r="D752" t="s">
        <v>81</v>
      </c>
      <c r="E752">
        <v>1</v>
      </c>
      <c r="F752" t="s">
        <v>1101</v>
      </c>
      <c r="H752" t="s">
        <v>1102</v>
      </c>
      <c r="I752" t="str">
        <f>IF(ISBLANK(H752),"",INDEX(Sheet1!$F$2:$F$936,MATCH(H752,Sheet1!$C$2:$C$936,0)))</f>
        <v>United States</v>
      </c>
      <c r="J752">
        <v>1066</v>
      </c>
      <c r="M752">
        <v>858632.89489999996</v>
      </c>
      <c r="N752">
        <v>1E-4</v>
      </c>
    </row>
    <row r="753" spans="1:14" x14ac:dyDescent="0.35">
      <c r="A753" s="1">
        <v>45657</v>
      </c>
      <c r="B753" t="s">
        <v>14</v>
      </c>
      <c r="C753" t="s">
        <v>15</v>
      </c>
      <c r="D753" t="s">
        <v>81</v>
      </c>
      <c r="E753">
        <v>1</v>
      </c>
      <c r="F753" t="s">
        <v>1103</v>
      </c>
      <c r="H753">
        <v>2310525</v>
      </c>
      <c r="I753" t="str">
        <f>IF(ISBLANK(H753),"",INDEX(Sheet1!$F$2:$F$936,MATCH(H753,Sheet1!$C$2:$C$936,0)))</f>
        <v>United States</v>
      </c>
      <c r="J753">
        <v>18632</v>
      </c>
      <c r="M753">
        <v>10066150.449999999</v>
      </c>
      <c r="N753">
        <v>1.3999999999999898E-3</v>
      </c>
    </row>
    <row r="754" spans="1:14" x14ac:dyDescent="0.35">
      <c r="A754" s="1">
        <v>45657</v>
      </c>
      <c r="B754" t="s">
        <v>14</v>
      </c>
      <c r="C754" t="s">
        <v>15</v>
      </c>
      <c r="D754" t="s">
        <v>81</v>
      </c>
      <c r="E754">
        <v>1</v>
      </c>
      <c r="F754" t="s">
        <v>1104</v>
      </c>
      <c r="H754" t="s">
        <v>1105</v>
      </c>
      <c r="I754" t="str">
        <f>IF(ISBLANK(H754),"",INDEX(Sheet1!$F$2:$F$936,MATCH(H754,Sheet1!$C$2:$C$936,0)))</f>
        <v>United States</v>
      </c>
      <c r="J754">
        <v>42616</v>
      </c>
      <c r="M754">
        <v>3005786.594</v>
      </c>
      <c r="N754">
        <v>4.0000000000000002E-4</v>
      </c>
    </row>
    <row r="755" spans="1:14" x14ac:dyDescent="0.35">
      <c r="A755" s="1">
        <v>45657</v>
      </c>
      <c r="B755" t="s">
        <v>14</v>
      </c>
      <c r="C755" t="s">
        <v>15</v>
      </c>
      <c r="D755" t="s">
        <v>81</v>
      </c>
      <c r="E755">
        <v>1</v>
      </c>
      <c r="F755" t="s">
        <v>1106</v>
      </c>
      <c r="H755" t="s">
        <v>1107</v>
      </c>
      <c r="I755" t="str">
        <f>IF(ISBLANK(H755),"",INDEX(Sheet1!$F$2:$F$936,MATCH(H755,Sheet1!$C$2:$C$936,0)))</f>
        <v>KRW</v>
      </c>
      <c r="J755">
        <v>307</v>
      </c>
      <c r="M755">
        <v>319451.614</v>
      </c>
      <c r="N755">
        <v>0</v>
      </c>
    </row>
    <row r="756" spans="1:14" x14ac:dyDescent="0.35">
      <c r="A756" s="1">
        <v>45657</v>
      </c>
      <c r="B756" t="s">
        <v>14</v>
      </c>
      <c r="C756" t="s">
        <v>15</v>
      </c>
      <c r="D756" t="s">
        <v>81</v>
      </c>
      <c r="E756">
        <v>1</v>
      </c>
      <c r="F756" t="s">
        <v>1108</v>
      </c>
      <c r="H756">
        <v>6771720</v>
      </c>
      <c r="I756" t="str">
        <f>IF(ISBLANK(H756),"",INDEX(Sheet1!$F$2:$F$936,MATCH(H756,Sheet1!$C$2:$C$936,0)))</f>
        <v>South Korea</v>
      </c>
      <c r="J756">
        <v>230296</v>
      </c>
      <c r="M756">
        <v>13416322.699999999</v>
      </c>
      <c r="N756">
        <v>1.9E-3</v>
      </c>
    </row>
    <row r="757" spans="1:14" x14ac:dyDescent="0.35">
      <c r="A757" s="1">
        <v>45657</v>
      </c>
      <c r="B757" t="s">
        <v>14</v>
      </c>
      <c r="C757" t="s">
        <v>15</v>
      </c>
      <c r="D757" t="s">
        <v>81</v>
      </c>
      <c r="E757">
        <v>1</v>
      </c>
      <c r="F757" t="s">
        <v>1109</v>
      </c>
      <c r="H757">
        <v>6155250</v>
      </c>
      <c r="I757" t="str">
        <f>IF(ISBLANK(H757),"",INDEX(Sheet1!$F$2:$F$936,MATCH(H757,Sheet1!$C$2:$C$936,0)))</f>
        <v>South Korea</v>
      </c>
      <c r="J757">
        <v>378</v>
      </c>
      <c r="M757">
        <v>148667.93119999999</v>
      </c>
      <c r="N757">
        <v>0</v>
      </c>
    </row>
    <row r="758" spans="1:14" x14ac:dyDescent="0.35">
      <c r="A758" s="1">
        <v>45657</v>
      </c>
      <c r="B758" t="s">
        <v>14</v>
      </c>
      <c r="C758" t="s">
        <v>15</v>
      </c>
      <c r="D758" t="s">
        <v>81</v>
      </c>
      <c r="E758">
        <v>1</v>
      </c>
      <c r="F758" t="s">
        <v>1110</v>
      </c>
      <c r="H758">
        <v>6771645</v>
      </c>
      <c r="I758" t="str">
        <f>IF(ISBLANK(H758),"",INDEX(Sheet1!$F$2:$F$936,MATCH(H758,Sheet1!$C$2:$C$936,0)))</f>
        <v>KRW</v>
      </c>
      <c r="J758">
        <v>1236</v>
      </c>
      <c r="M758">
        <v>335653.3567</v>
      </c>
      <c r="N758">
        <v>0</v>
      </c>
    </row>
    <row r="759" spans="1:14" x14ac:dyDescent="0.35">
      <c r="A759" s="1">
        <v>45657</v>
      </c>
      <c r="B759" t="s">
        <v>14</v>
      </c>
      <c r="C759" t="s">
        <v>15</v>
      </c>
      <c r="D759" t="s">
        <v>81</v>
      </c>
      <c r="E759">
        <v>1</v>
      </c>
      <c r="F759" t="s">
        <v>1111</v>
      </c>
      <c r="H759">
        <v>6739739</v>
      </c>
      <c r="I759" t="str">
        <f>IF(ISBLANK(H759),"",INDEX(Sheet1!$F$2:$F$936,MATCH(H759,Sheet1!$C$2:$C$936,0)))</f>
        <v>Australia</v>
      </c>
      <c r="J759">
        <v>577414</v>
      </c>
      <c r="M759">
        <v>5358401.6220000004</v>
      </c>
      <c r="N759">
        <v>6.9999999999999891E-4</v>
      </c>
    </row>
    <row r="760" spans="1:14" x14ac:dyDescent="0.35">
      <c r="A760" s="1">
        <v>45657</v>
      </c>
      <c r="B760" t="s">
        <v>14</v>
      </c>
      <c r="C760" t="s">
        <v>15</v>
      </c>
      <c r="D760" t="s">
        <v>81</v>
      </c>
      <c r="E760">
        <v>1</v>
      </c>
      <c r="F760" t="s">
        <v>1112</v>
      </c>
      <c r="H760">
        <v>5671735</v>
      </c>
      <c r="I760" t="str">
        <f>IF(ISBLANK(H760),"",INDEX(Sheet1!$F$2:$F$936,MATCH(H760,Sheet1!$C$2:$C$936,0)))</f>
        <v>France</v>
      </c>
      <c r="J760">
        <v>17897</v>
      </c>
      <c r="M760">
        <v>2794381.1719999998</v>
      </c>
      <c r="N760">
        <v>4.0000000000000002E-4</v>
      </c>
    </row>
    <row r="761" spans="1:14" x14ac:dyDescent="0.35">
      <c r="A761" s="1">
        <v>45657</v>
      </c>
      <c r="B761" t="s">
        <v>14</v>
      </c>
      <c r="C761" t="s">
        <v>15</v>
      </c>
      <c r="D761" t="s">
        <v>81</v>
      </c>
      <c r="E761">
        <v>1</v>
      </c>
      <c r="F761" t="s">
        <v>1113</v>
      </c>
      <c r="H761">
        <v>7153639</v>
      </c>
      <c r="I761" t="str">
        <f>IF(ISBLANK(H761),"",INDEX(Sheet1!$F$2:$F$936,MATCH(H761,Sheet1!$C$2:$C$936,0)))</f>
        <v>PLN</v>
      </c>
      <c r="J761">
        <v>3832</v>
      </c>
      <c r="M761">
        <v>685610.29070000001</v>
      </c>
      <c r="N761">
        <v>1E-4</v>
      </c>
    </row>
    <row r="762" spans="1:14" x14ac:dyDescent="0.35">
      <c r="A762" s="1">
        <v>45657</v>
      </c>
      <c r="B762" t="s">
        <v>14</v>
      </c>
      <c r="C762" t="s">
        <v>15</v>
      </c>
      <c r="D762" t="s">
        <v>81</v>
      </c>
      <c r="E762">
        <v>1</v>
      </c>
      <c r="F762" t="s">
        <v>1114</v>
      </c>
      <c r="H762" t="s">
        <v>1115</v>
      </c>
      <c r="I762" t="str">
        <f>IF(ISBLANK(H762),"",INDEX(Sheet1!$F$2:$F$936,MATCH(H762,Sheet1!$C$2:$C$936,0)))</f>
        <v>AUD</v>
      </c>
      <c r="J762">
        <v>946855</v>
      </c>
      <c r="M762">
        <v>6324993.0920000002</v>
      </c>
      <c r="N762">
        <v>8.9999999999999998E-4</v>
      </c>
    </row>
    <row r="763" spans="1:14" x14ac:dyDescent="0.35">
      <c r="A763" s="1">
        <v>45657</v>
      </c>
      <c r="B763" t="s">
        <v>14</v>
      </c>
      <c r="C763" t="s">
        <v>15</v>
      </c>
      <c r="D763" t="s">
        <v>81</v>
      </c>
      <c r="E763">
        <v>1</v>
      </c>
      <c r="F763" t="s">
        <v>1116</v>
      </c>
      <c r="H763">
        <v>4846288</v>
      </c>
      <c r="I763" t="str">
        <f>IF(ISBLANK(H763),"",INDEX(Sheet1!$F$2:$F$936,MATCH(H763,Sheet1!$C$2:$C$936,0)))</f>
        <v>Germany</v>
      </c>
      <c r="J763">
        <v>14755</v>
      </c>
      <c r="M763">
        <v>5827671.9340000004</v>
      </c>
      <c r="N763">
        <v>8.0000000000000004E-4</v>
      </c>
    </row>
    <row r="764" spans="1:14" x14ac:dyDescent="0.35">
      <c r="A764" s="1">
        <v>45657</v>
      </c>
      <c r="B764" t="s">
        <v>14</v>
      </c>
      <c r="C764" t="s">
        <v>15</v>
      </c>
      <c r="D764" t="s">
        <v>81</v>
      </c>
      <c r="E764">
        <v>1</v>
      </c>
      <c r="F764" t="s">
        <v>1117</v>
      </c>
      <c r="H764" t="s">
        <v>1118</v>
      </c>
      <c r="I764" t="str">
        <f>IF(ISBLANK(H764),"",INDEX(Sheet1!$F$2:$F$936,MATCH(H764,Sheet1!$C$2:$C$936,0)))</f>
        <v>SAR</v>
      </c>
      <c r="J764">
        <v>57593</v>
      </c>
      <c r="M764">
        <v>833047.10640000005</v>
      </c>
      <c r="N764">
        <v>1E-4</v>
      </c>
    </row>
    <row r="765" spans="1:14" x14ac:dyDescent="0.35">
      <c r="A765" s="1">
        <v>45657</v>
      </c>
      <c r="B765" t="s">
        <v>14</v>
      </c>
      <c r="C765" t="s">
        <v>15</v>
      </c>
      <c r="D765" t="s">
        <v>81</v>
      </c>
      <c r="E765">
        <v>1</v>
      </c>
      <c r="F765" t="s">
        <v>1119</v>
      </c>
      <c r="H765" t="s">
        <v>1120</v>
      </c>
      <c r="I765" t="str">
        <f>IF(ISBLANK(H765),"",INDEX(Sheet1!$F$2:$F$936,MATCH(H765,Sheet1!$C$2:$C$936,0)))</f>
        <v>SAR</v>
      </c>
      <c r="J765">
        <v>213235</v>
      </c>
      <c r="M765">
        <v>1327222.7009999999</v>
      </c>
      <c r="N765">
        <v>2.0000000000000001E-4</v>
      </c>
    </row>
    <row r="766" spans="1:14" x14ac:dyDescent="0.35">
      <c r="A766" s="1">
        <v>45657</v>
      </c>
      <c r="B766" t="s">
        <v>14</v>
      </c>
      <c r="C766" t="s">
        <v>15</v>
      </c>
      <c r="D766" t="s">
        <v>81</v>
      </c>
      <c r="E766">
        <v>1</v>
      </c>
      <c r="F766" t="s">
        <v>1121</v>
      </c>
      <c r="H766" t="s">
        <v>1122</v>
      </c>
      <c r="I766" t="str">
        <f>IF(ISBLANK(H766),"",INDEX(Sheet1!$F$2:$F$936,MATCH(H766,Sheet1!$C$2:$C$936,0)))</f>
        <v>SA</v>
      </c>
      <c r="J766">
        <v>22462</v>
      </c>
      <c r="M766">
        <v>386214.62459999998</v>
      </c>
      <c r="N766">
        <v>1E-4</v>
      </c>
    </row>
    <row r="767" spans="1:14" x14ac:dyDescent="0.35">
      <c r="A767" s="1">
        <v>45657</v>
      </c>
      <c r="B767" t="s">
        <v>14</v>
      </c>
      <c r="C767" t="s">
        <v>15</v>
      </c>
      <c r="D767" t="s">
        <v>81</v>
      </c>
      <c r="E767">
        <v>1</v>
      </c>
      <c r="F767" t="s">
        <v>1123</v>
      </c>
      <c r="H767" t="s">
        <v>1124</v>
      </c>
      <c r="I767" t="str">
        <f>IF(ISBLANK(H767),"",INDEX(Sheet1!$F$2:$F$936,MATCH(H767,Sheet1!$C$2:$C$936,0)))</f>
        <v>Thailand</v>
      </c>
      <c r="J767">
        <v>422226</v>
      </c>
      <c r="M767">
        <v>2340152.8560000001</v>
      </c>
      <c r="N767">
        <v>2.9999999999999997E-4</v>
      </c>
    </row>
    <row r="768" spans="1:14" x14ac:dyDescent="0.35">
      <c r="A768" s="1">
        <v>45657</v>
      </c>
      <c r="B768" t="s">
        <v>14</v>
      </c>
      <c r="C768" t="s">
        <v>15</v>
      </c>
      <c r="D768" t="s">
        <v>81</v>
      </c>
      <c r="E768">
        <v>1</v>
      </c>
      <c r="F768" t="s">
        <v>1125</v>
      </c>
      <c r="H768">
        <v>2779201</v>
      </c>
      <c r="I768" t="str">
        <f>IF(ISBLANK(H768),"",INDEX(Sheet1!$F$2:$F$936,MATCH(H768,Sheet1!$C$2:$C$936,0)))</f>
        <v>United States</v>
      </c>
      <c r="J768">
        <v>23965</v>
      </c>
      <c r="M768">
        <v>1484799.2209999999</v>
      </c>
      <c r="N768">
        <v>2.0000000000000001E-4</v>
      </c>
    </row>
    <row r="769" spans="1:14" x14ac:dyDescent="0.35">
      <c r="A769" s="1">
        <v>45657</v>
      </c>
      <c r="B769" t="s">
        <v>14</v>
      </c>
      <c r="C769" t="s">
        <v>15</v>
      </c>
      <c r="D769" t="s">
        <v>81</v>
      </c>
      <c r="E769">
        <v>1</v>
      </c>
      <c r="F769" t="s">
        <v>1126</v>
      </c>
      <c r="H769">
        <v>4834108</v>
      </c>
      <c r="I769" t="str">
        <f>IF(ISBLANK(H769),"",INDEX(Sheet1!$F$2:$F$936,MATCH(H769,Sheet1!$C$2:$C$936,0)))</f>
        <v>France</v>
      </c>
      <c r="J769">
        <v>1213</v>
      </c>
      <c r="M769">
        <v>488827.27439999999</v>
      </c>
      <c r="N769">
        <v>1E-4</v>
      </c>
    </row>
    <row r="770" spans="1:14" x14ac:dyDescent="0.35">
      <c r="A770" s="1">
        <v>45657</v>
      </c>
      <c r="B770" t="s">
        <v>14</v>
      </c>
      <c r="C770" t="s">
        <v>15</v>
      </c>
      <c r="D770" t="s">
        <v>81</v>
      </c>
      <c r="E770">
        <v>1</v>
      </c>
      <c r="F770" t="s">
        <v>1127</v>
      </c>
      <c r="H770" t="s">
        <v>1128</v>
      </c>
      <c r="I770" t="str">
        <f>IF(ISBLANK(H770),"",INDEX(Sheet1!$F$2:$F$936,MATCH(H770,Sheet1!$C$2:$C$936,0)))</f>
        <v>Singapore</v>
      </c>
      <c r="J770">
        <v>45683</v>
      </c>
      <c r="M770">
        <v>7823185.8210000005</v>
      </c>
      <c r="N770">
        <v>1.1000000000000001E-3</v>
      </c>
    </row>
    <row r="771" spans="1:14" x14ac:dyDescent="0.35">
      <c r="A771" s="1">
        <v>45657</v>
      </c>
      <c r="B771" t="s">
        <v>14</v>
      </c>
      <c r="C771" t="s">
        <v>15</v>
      </c>
      <c r="D771" t="s">
        <v>81</v>
      </c>
      <c r="E771">
        <v>1</v>
      </c>
      <c r="F771" t="s">
        <v>1129</v>
      </c>
      <c r="H771" t="s">
        <v>1130</v>
      </c>
      <c r="I771" t="str">
        <f>IF(ISBLANK(H771),"",INDEX(Sheet1!$F$2:$F$936,MATCH(H771,Sheet1!$C$2:$C$936,0)))</f>
        <v>Ireland</v>
      </c>
      <c r="J771">
        <v>29988</v>
      </c>
      <c r="M771">
        <v>4180412.0109999999</v>
      </c>
      <c r="N771">
        <v>5.9999999999999995E-4</v>
      </c>
    </row>
    <row r="772" spans="1:14" x14ac:dyDescent="0.35">
      <c r="A772" s="1">
        <v>45657</v>
      </c>
      <c r="B772" t="s">
        <v>14</v>
      </c>
      <c r="C772" t="s">
        <v>15</v>
      </c>
      <c r="D772" t="s">
        <v>81</v>
      </c>
      <c r="E772">
        <v>1</v>
      </c>
      <c r="F772" t="s">
        <v>1131</v>
      </c>
      <c r="H772">
        <v>5554041</v>
      </c>
      <c r="I772" t="str">
        <f>IF(ISBLANK(H772),"",INDEX(Sheet1!$F$2:$F$936,MATCH(H772,Sheet1!$C$2:$C$936,0)))</f>
        <v>Sweden</v>
      </c>
      <c r="J772">
        <v>157633</v>
      </c>
      <c r="M772">
        <v>3144059.389</v>
      </c>
      <c r="N772">
        <v>4.0000000000000002E-4</v>
      </c>
    </row>
    <row r="773" spans="1:14" x14ac:dyDescent="0.35">
      <c r="A773" s="1">
        <v>45657</v>
      </c>
      <c r="B773" t="s">
        <v>14</v>
      </c>
      <c r="C773" t="s">
        <v>15</v>
      </c>
      <c r="D773" t="s">
        <v>81</v>
      </c>
      <c r="E773">
        <v>1</v>
      </c>
      <c r="F773" t="s">
        <v>1132</v>
      </c>
      <c r="H773" t="s">
        <v>1133</v>
      </c>
      <c r="I773" t="str">
        <f>IF(ISBLANK(H773),"",INDEX(Sheet1!$F$2:$F$936,MATCH(H773,Sheet1!$C$2:$C$936,0)))</f>
        <v>Australia</v>
      </c>
      <c r="J773">
        <v>128545</v>
      </c>
      <c r="M773">
        <v>2901256.855</v>
      </c>
      <c r="N773">
        <v>4.0000000000000002E-4</v>
      </c>
    </row>
    <row r="774" spans="1:14" x14ac:dyDescent="0.35">
      <c r="A774" s="1">
        <v>45657</v>
      </c>
      <c r="B774" t="s">
        <v>14</v>
      </c>
      <c r="C774" t="s">
        <v>15</v>
      </c>
      <c r="D774" t="s">
        <v>81</v>
      </c>
      <c r="E774">
        <v>1</v>
      </c>
      <c r="F774" t="s">
        <v>1134</v>
      </c>
      <c r="H774">
        <v>2793610</v>
      </c>
      <c r="I774" t="str">
        <f>IF(ISBLANK(H774),"",INDEX(Sheet1!$F$2:$F$936,MATCH(H774,Sheet1!$C$2:$C$936,0)))</f>
        <v>USD</v>
      </c>
      <c r="J774">
        <v>23684</v>
      </c>
      <c r="M774">
        <v>3155013.84</v>
      </c>
      <c r="N774">
        <v>4.0000000000000002E-4</v>
      </c>
    </row>
    <row r="775" spans="1:14" x14ac:dyDescent="0.35">
      <c r="A775" s="1">
        <v>45657</v>
      </c>
      <c r="B775" t="s">
        <v>14</v>
      </c>
      <c r="C775" t="s">
        <v>15</v>
      </c>
      <c r="D775" t="s">
        <v>81</v>
      </c>
      <c r="E775">
        <v>1</v>
      </c>
      <c r="F775" t="s">
        <v>1135</v>
      </c>
      <c r="H775">
        <v>6260723</v>
      </c>
      <c r="I775" t="str">
        <f>IF(ISBLANK(H775),"",INDEX(Sheet1!$F$2:$F$936,MATCH(H775,Sheet1!$C$2:$C$936,0)))</f>
        <v>AUD</v>
      </c>
      <c r="J775">
        <v>4070</v>
      </c>
      <c r="M775">
        <v>17298.28</v>
      </c>
      <c r="N775">
        <v>0</v>
      </c>
    </row>
    <row r="776" spans="1:14" x14ac:dyDescent="0.35">
      <c r="A776" s="1">
        <v>45657</v>
      </c>
      <c r="B776" t="s">
        <v>14</v>
      </c>
      <c r="C776" t="s">
        <v>15</v>
      </c>
      <c r="D776" t="s">
        <v>81</v>
      </c>
      <c r="E776">
        <v>1</v>
      </c>
      <c r="F776" t="s">
        <v>1136</v>
      </c>
      <c r="H776" t="s">
        <v>1137</v>
      </c>
      <c r="I776" t="str">
        <f>IF(ISBLANK(H776),"",INDEX(Sheet1!$F$2:$F$936,MATCH(H776,Sheet1!$C$2:$C$936,0)))</f>
        <v>AUD</v>
      </c>
      <c r="J776">
        <v>1051277</v>
      </c>
      <c r="M776">
        <v>1639992.0759999999</v>
      </c>
      <c r="N776">
        <v>2.0000000000000001E-4</v>
      </c>
    </row>
    <row r="777" spans="1:14" x14ac:dyDescent="0.35">
      <c r="A777" s="1">
        <v>45657</v>
      </c>
      <c r="B777" t="s">
        <v>14</v>
      </c>
      <c r="C777" t="s">
        <v>15</v>
      </c>
      <c r="D777" t="s">
        <v>81</v>
      </c>
      <c r="E777">
        <v>1</v>
      </c>
      <c r="F777" t="s">
        <v>1138</v>
      </c>
      <c r="H777" t="s">
        <v>1139</v>
      </c>
      <c r="I777" t="str">
        <f>IF(ISBLANK(H777),"",INDEX(Sheet1!$F$2:$F$936,MATCH(H777,Sheet1!$C$2:$C$936,0)))</f>
        <v>United States</v>
      </c>
      <c r="J777">
        <v>4443</v>
      </c>
      <c r="M777">
        <v>7603663.6490000002</v>
      </c>
      <c r="N777">
        <v>1.1000000000000001E-3</v>
      </c>
    </row>
    <row r="778" spans="1:14" x14ac:dyDescent="0.35">
      <c r="A778" s="1">
        <v>45657</v>
      </c>
      <c r="B778" t="s">
        <v>14</v>
      </c>
      <c r="C778" t="s">
        <v>15</v>
      </c>
      <c r="D778" t="s">
        <v>81</v>
      </c>
      <c r="E778">
        <v>1</v>
      </c>
      <c r="F778" t="s">
        <v>1140</v>
      </c>
      <c r="H778">
        <v>6949431</v>
      </c>
      <c r="I778" t="str">
        <f>IF(ISBLANK(H778),"",INDEX(Sheet1!$F$2:$F$936,MATCH(H778,Sheet1!$C$2:$C$936,0)))</f>
        <v>AUD</v>
      </c>
      <c r="J778">
        <v>7195454</v>
      </c>
      <c r="M778">
        <v>1043340.849</v>
      </c>
      <c r="N778">
        <v>1E-4</v>
      </c>
    </row>
    <row r="779" spans="1:14" x14ac:dyDescent="0.35">
      <c r="A779" s="1">
        <v>45657</v>
      </c>
      <c r="B779" t="s">
        <v>14</v>
      </c>
      <c r="C779" t="s">
        <v>15</v>
      </c>
      <c r="D779" t="s">
        <v>81</v>
      </c>
      <c r="E779">
        <v>1</v>
      </c>
      <c r="F779" t="s">
        <v>1141</v>
      </c>
      <c r="H779" t="s">
        <v>1142</v>
      </c>
      <c r="I779" t="str">
        <f>IF(ISBLANK(H779),"",INDEX(Sheet1!$F$2:$F$936,MATCH(H779,Sheet1!$C$2:$C$936,0)))</f>
        <v>AUD</v>
      </c>
      <c r="J779">
        <v>50754</v>
      </c>
      <c r="M779">
        <v>173072.38649999999</v>
      </c>
      <c r="N779">
        <v>0</v>
      </c>
    </row>
    <row r="780" spans="1:14" x14ac:dyDescent="0.35">
      <c r="A780" s="1">
        <v>45657</v>
      </c>
      <c r="B780" t="s">
        <v>14</v>
      </c>
      <c r="C780" t="s">
        <v>15</v>
      </c>
      <c r="D780" t="s">
        <v>81</v>
      </c>
      <c r="E780">
        <v>1</v>
      </c>
      <c r="F780" t="s">
        <v>1143</v>
      </c>
      <c r="H780" t="s">
        <v>1144</v>
      </c>
      <c r="I780" t="str">
        <f>IF(ISBLANK(H780),"",INDEX(Sheet1!$F$2:$F$936,MATCH(H780,Sheet1!$C$2:$C$936,0)))</f>
        <v>Australia</v>
      </c>
      <c r="J780">
        <v>430791</v>
      </c>
      <c r="M780">
        <v>19863781.219999999</v>
      </c>
      <c r="N780">
        <v>2.7999999999999904E-3</v>
      </c>
    </row>
    <row r="781" spans="1:14" x14ac:dyDescent="0.35">
      <c r="A781" s="1">
        <v>45657</v>
      </c>
      <c r="B781" t="s">
        <v>14</v>
      </c>
      <c r="C781" t="s">
        <v>15</v>
      </c>
      <c r="D781" t="s">
        <v>81</v>
      </c>
      <c r="E781">
        <v>1</v>
      </c>
      <c r="F781" t="s">
        <v>1145</v>
      </c>
      <c r="H781" t="s">
        <v>1146</v>
      </c>
      <c r="I781" t="str">
        <f>IF(ISBLANK(H781),"",INDEX(Sheet1!$F$2:$F$936,MATCH(H781,Sheet1!$C$2:$C$936,0)))</f>
        <v>United Kingdom</v>
      </c>
      <c r="J781">
        <v>138685</v>
      </c>
      <c r="M781">
        <v>6945871.1330000004</v>
      </c>
      <c r="N781">
        <v>1E-3</v>
      </c>
    </row>
    <row r="782" spans="1:14" x14ac:dyDescent="0.35">
      <c r="A782" s="1">
        <v>45657</v>
      </c>
      <c r="B782" t="s">
        <v>14</v>
      </c>
      <c r="C782" t="s">
        <v>15</v>
      </c>
      <c r="D782" t="s">
        <v>81</v>
      </c>
      <c r="E782">
        <v>1</v>
      </c>
      <c r="F782" t="s">
        <v>1147</v>
      </c>
      <c r="H782">
        <v>2804211</v>
      </c>
      <c r="I782" t="str">
        <f>IF(ISBLANK(H782),"",INDEX(Sheet1!$F$2:$F$936,MATCH(H782,Sheet1!$C$2:$C$936,0)))</f>
        <v>United States</v>
      </c>
      <c r="J782">
        <v>8193</v>
      </c>
      <c r="M782">
        <v>4497042.4400000004</v>
      </c>
      <c r="N782">
        <v>5.9999999999999995E-4</v>
      </c>
    </row>
    <row r="783" spans="1:14" x14ac:dyDescent="0.35">
      <c r="A783" s="1">
        <v>45657</v>
      </c>
      <c r="B783" t="s">
        <v>14</v>
      </c>
      <c r="C783" t="s">
        <v>15</v>
      </c>
      <c r="D783" t="s">
        <v>81</v>
      </c>
      <c r="E783">
        <v>1</v>
      </c>
      <c r="F783" t="s">
        <v>1148</v>
      </c>
      <c r="H783">
        <v>6397502</v>
      </c>
      <c r="I783" t="str">
        <f>IF(ISBLANK(H783),"",INDEX(Sheet1!$F$2:$F$936,MATCH(H783,Sheet1!$C$2:$C$936,0)))</f>
        <v>South Korea</v>
      </c>
      <c r="J783">
        <v>52192</v>
      </c>
      <c r="M783">
        <v>2728494.0150000001</v>
      </c>
      <c r="N783">
        <v>4.0000000000000002E-4</v>
      </c>
    </row>
    <row r="784" spans="1:14" x14ac:dyDescent="0.35">
      <c r="A784" s="1">
        <v>45657</v>
      </c>
      <c r="B784" t="s">
        <v>14</v>
      </c>
      <c r="C784" t="s">
        <v>15</v>
      </c>
      <c r="D784" t="s">
        <v>81</v>
      </c>
      <c r="E784">
        <v>1</v>
      </c>
      <c r="F784" t="s">
        <v>1149</v>
      </c>
      <c r="H784" t="s">
        <v>1150</v>
      </c>
      <c r="I784" t="str">
        <f>IF(ISBLANK(H784),"",INDEX(Sheet1!$F$2:$F$936,MATCH(H784,Sheet1!$C$2:$C$936,0)))</f>
        <v>Canada</v>
      </c>
      <c r="J784">
        <v>28970</v>
      </c>
      <c r="M784">
        <v>4961322.3380000005</v>
      </c>
      <c r="N784">
        <v>6.9999999999999891E-4</v>
      </c>
    </row>
    <row r="785" spans="1:14" x14ac:dyDescent="0.35">
      <c r="A785" s="1">
        <v>45657</v>
      </c>
      <c r="B785" t="s">
        <v>14</v>
      </c>
      <c r="C785" t="s">
        <v>15</v>
      </c>
      <c r="D785" t="s">
        <v>81</v>
      </c>
      <c r="E785">
        <v>1</v>
      </c>
      <c r="F785" t="s">
        <v>1149</v>
      </c>
      <c r="H785" t="s">
        <v>1151</v>
      </c>
      <c r="I785" t="str">
        <f>IF(ISBLANK(H785),"",INDEX(Sheet1!$F$2:$F$936,MATCH(H785,Sheet1!$C$2:$C$936,0)))</f>
        <v>Canada</v>
      </c>
      <c r="J785">
        <v>27656</v>
      </c>
      <c r="M785">
        <v>4750842.5420000004</v>
      </c>
      <c r="N785">
        <v>6.9999999999999891E-4</v>
      </c>
    </row>
    <row r="786" spans="1:14" x14ac:dyDescent="0.35">
      <c r="A786" s="1">
        <v>45657</v>
      </c>
      <c r="B786" t="s">
        <v>14</v>
      </c>
      <c r="C786" t="s">
        <v>15</v>
      </c>
      <c r="D786" t="s">
        <v>81</v>
      </c>
      <c r="E786">
        <v>1</v>
      </c>
      <c r="F786" t="s">
        <v>1152</v>
      </c>
      <c r="H786">
        <v>5727973</v>
      </c>
      <c r="I786" t="str">
        <f>IF(ISBLANK(H786),"",INDEX(Sheet1!$F$2:$F$936,MATCH(H786,Sheet1!$C$2:$C$936,0)))</f>
        <v>Germany</v>
      </c>
      <c r="J786">
        <v>25243</v>
      </c>
      <c r="M786">
        <v>7969825.3559999997</v>
      </c>
      <c r="N786">
        <v>1.1000000000000001E-3</v>
      </c>
    </row>
    <row r="787" spans="1:14" x14ac:dyDescent="0.35">
      <c r="A787" s="1">
        <v>45657</v>
      </c>
      <c r="B787" t="s">
        <v>14</v>
      </c>
      <c r="C787" t="s">
        <v>15</v>
      </c>
      <c r="D787" t="s">
        <v>81</v>
      </c>
      <c r="E787">
        <v>1</v>
      </c>
      <c r="F787" t="s">
        <v>1153</v>
      </c>
      <c r="H787" t="s">
        <v>1154</v>
      </c>
      <c r="I787" t="str">
        <f>IF(ISBLANK(H787),"",INDEX(Sheet1!$F$2:$F$936,MATCH(H787,Sheet1!$C$2:$C$936,0)))</f>
        <v>AUD</v>
      </c>
      <c r="J787">
        <v>4292395</v>
      </c>
      <c r="M787">
        <v>11246074.93</v>
      </c>
      <c r="N787">
        <v>1.6000000000000001E-3</v>
      </c>
    </row>
    <row r="788" spans="1:14" x14ac:dyDescent="0.35">
      <c r="A788" s="1">
        <v>45657</v>
      </c>
      <c r="B788" t="s">
        <v>14</v>
      </c>
      <c r="C788" t="s">
        <v>15</v>
      </c>
      <c r="D788" t="s">
        <v>81</v>
      </c>
      <c r="E788">
        <v>1</v>
      </c>
      <c r="F788" t="s">
        <v>1155</v>
      </c>
      <c r="H788">
        <v>6043214</v>
      </c>
      <c r="I788" t="str">
        <f>IF(ISBLANK(H788),"",INDEX(Sheet1!$F$2:$F$936,MATCH(H788,Sheet1!$C$2:$C$936,0)))</f>
        <v>Singapore</v>
      </c>
      <c r="J788">
        <v>300464</v>
      </c>
      <c r="M788">
        <v>1654137.6540000001</v>
      </c>
      <c r="N788">
        <v>2.0000000000000001E-4</v>
      </c>
    </row>
    <row r="789" spans="1:14" x14ac:dyDescent="0.35">
      <c r="A789" s="1">
        <v>45657</v>
      </c>
      <c r="B789" t="s">
        <v>14</v>
      </c>
      <c r="C789" t="s">
        <v>15</v>
      </c>
      <c r="D789" t="s">
        <v>81</v>
      </c>
      <c r="E789">
        <v>1</v>
      </c>
      <c r="F789" t="s">
        <v>1156</v>
      </c>
      <c r="H789" t="s">
        <v>1157</v>
      </c>
      <c r="I789" t="str">
        <f>IF(ISBLANK(H789),"",INDEX(Sheet1!$F$2:$F$936,MATCH(H789,Sheet1!$C$2:$C$936,0)))</f>
        <v>HKD</v>
      </c>
      <c r="J789">
        <v>291073</v>
      </c>
      <c r="M789">
        <v>193664.17420000001</v>
      </c>
      <c r="N789">
        <v>0</v>
      </c>
    </row>
    <row r="790" spans="1:14" x14ac:dyDescent="0.35">
      <c r="A790" s="1">
        <v>45657</v>
      </c>
      <c r="B790" t="s">
        <v>14</v>
      </c>
      <c r="C790" t="s">
        <v>15</v>
      </c>
      <c r="D790" t="s">
        <v>81</v>
      </c>
      <c r="E790">
        <v>1</v>
      </c>
      <c r="F790" t="s">
        <v>1158</v>
      </c>
      <c r="H790" t="s">
        <v>1159</v>
      </c>
      <c r="I790" t="str">
        <f>IF(ISBLANK(H790),"",INDEX(Sheet1!$F$2:$F$936,MATCH(H790,Sheet1!$C$2:$C$936,0)))</f>
        <v>China</v>
      </c>
      <c r="J790">
        <v>263949</v>
      </c>
      <c r="M790">
        <v>1251273.3629999999</v>
      </c>
      <c r="N790">
        <v>2.0000000000000001E-4</v>
      </c>
    </row>
    <row r="791" spans="1:14" x14ac:dyDescent="0.35">
      <c r="A791" s="1">
        <v>45657</v>
      </c>
      <c r="B791" t="s">
        <v>14</v>
      </c>
      <c r="C791" t="s">
        <v>15</v>
      </c>
      <c r="D791" t="s">
        <v>81</v>
      </c>
      <c r="E791">
        <v>1</v>
      </c>
      <c r="F791" t="s">
        <v>1160</v>
      </c>
      <c r="H791">
        <v>6450267</v>
      </c>
      <c r="I791" t="str">
        <f>IF(ISBLANK(H791),"",INDEX(Sheet1!$F$2:$F$936,MATCH(H791,Sheet1!$C$2:$C$936,0)))</f>
        <v>South Korea</v>
      </c>
      <c r="J791">
        <v>4043</v>
      </c>
      <c r="M791">
        <v>771344.88919999998</v>
      </c>
      <c r="N791">
        <v>1E-4</v>
      </c>
    </row>
    <row r="792" spans="1:14" x14ac:dyDescent="0.35">
      <c r="A792" s="1">
        <v>45657</v>
      </c>
      <c r="B792" t="s">
        <v>14</v>
      </c>
      <c r="C792" t="s">
        <v>15</v>
      </c>
      <c r="D792" t="s">
        <v>81</v>
      </c>
      <c r="E792">
        <v>1</v>
      </c>
      <c r="F792" t="s">
        <v>1161</v>
      </c>
      <c r="H792" t="s">
        <v>1162</v>
      </c>
      <c r="I792" t="str">
        <f>IF(ISBLANK(H792),"",INDEX(Sheet1!$F$2:$F$936,MATCH(H792,Sheet1!$C$2:$C$936,0)))</f>
        <v>South Korea</v>
      </c>
      <c r="J792">
        <v>2181</v>
      </c>
      <c r="M792">
        <v>189749.9976</v>
      </c>
      <c r="N792">
        <v>0</v>
      </c>
    </row>
    <row r="793" spans="1:14" x14ac:dyDescent="0.35">
      <c r="A793" s="1">
        <v>45657</v>
      </c>
      <c r="B793" t="s">
        <v>14</v>
      </c>
      <c r="C793" t="s">
        <v>15</v>
      </c>
      <c r="D793" t="s">
        <v>81</v>
      </c>
      <c r="E793">
        <v>1</v>
      </c>
      <c r="F793" t="s">
        <v>1163</v>
      </c>
      <c r="H793">
        <v>6224871</v>
      </c>
      <c r="I793" t="str">
        <f>IF(ISBLANK(H793),"",INDEX(Sheet1!$F$2:$F$936,MATCH(H793,Sheet1!$C$2:$C$936,0)))</f>
        <v>South Korea</v>
      </c>
      <c r="J793">
        <v>3121</v>
      </c>
      <c r="M793">
        <v>189028.44039999999</v>
      </c>
      <c r="N793">
        <v>0</v>
      </c>
    </row>
    <row r="794" spans="1:14" x14ac:dyDescent="0.35">
      <c r="A794" s="1">
        <v>45657</v>
      </c>
      <c r="B794" t="s">
        <v>14</v>
      </c>
      <c r="C794" t="s">
        <v>15</v>
      </c>
      <c r="D794" t="s">
        <v>81</v>
      </c>
      <c r="E794">
        <v>1</v>
      </c>
      <c r="F794" t="s">
        <v>1164</v>
      </c>
      <c r="H794">
        <v>7142091</v>
      </c>
      <c r="I794" t="str">
        <f>IF(ISBLANK(H794),"",INDEX(Sheet1!$F$2:$F$936,MATCH(H794,Sheet1!$C$2:$C$936,0)))</f>
        <v>Sweden</v>
      </c>
      <c r="J794">
        <v>43705</v>
      </c>
      <c r="M794">
        <v>1481513.75</v>
      </c>
      <c r="N794">
        <v>2.0000000000000001E-4</v>
      </c>
    </row>
    <row r="795" spans="1:14" x14ac:dyDescent="0.35">
      <c r="A795" s="1">
        <v>45657</v>
      </c>
      <c r="B795" t="s">
        <v>14</v>
      </c>
      <c r="C795" t="s">
        <v>15</v>
      </c>
      <c r="D795" t="s">
        <v>81</v>
      </c>
      <c r="E795">
        <v>1</v>
      </c>
      <c r="F795" t="s">
        <v>1165</v>
      </c>
      <c r="H795" t="s">
        <v>1166</v>
      </c>
      <c r="I795" t="str">
        <f>IF(ISBLANK(H795),"",INDEX(Sheet1!$F$2:$F$936,MATCH(H795,Sheet1!$C$2:$C$936,0)))</f>
        <v>NZD</v>
      </c>
      <c r="J795">
        <v>182823</v>
      </c>
      <c r="M795">
        <v>234013.31039999999</v>
      </c>
      <c r="N795">
        <v>0</v>
      </c>
    </row>
    <row r="796" spans="1:14" x14ac:dyDescent="0.35">
      <c r="A796" s="1">
        <v>45657</v>
      </c>
      <c r="B796" t="s">
        <v>14</v>
      </c>
      <c r="C796" t="s">
        <v>15</v>
      </c>
      <c r="D796" t="s">
        <v>81</v>
      </c>
      <c r="E796">
        <v>1</v>
      </c>
      <c r="F796" t="s">
        <v>1167</v>
      </c>
      <c r="H796">
        <v>2961053</v>
      </c>
      <c r="I796" t="str">
        <f>IF(ISBLANK(H796),"",INDEX(Sheet1!$F$2:$F$936,MATCH(H796,Sheet1!$C$2:$C$936,0)))</f>
        <v>United States</v>
      </c>
      <c r="J796">
        <v>2081</v>
      </c>
      <c r="M796">
        <v>298062.0919</v>
      </c>
      <c r="N796">
        <v>0</v>
      </c>
    </row>
    <row r="797" spans="1:14" x14ac:dyDescent="0.35">
      <c r="A797" s="1">
        <v>45657</v>
      </c>
      <c r="B797" t="s">
        <v>14</v>
      </c>
      <c r="C797" t="s">
        <v>15</v>
      </c>
      <c r="D797" t="s">
        <v>81</v>
      </c>
      <c r="E797">
        <v>1</v>
      </c>
      <c r="F797" t="s">
        <v>1168</v>
      </c>
      <c r="H797" t="s">
        <v>1169</v>
      </c>
      <c r="I797" t="str">
        <f>IF(ISBLANK(H797),"",INDEX(Sheet1!$F$2:$F$936,MATCH(H797,Sheet1!$C$2:$C$936,0)))</f>
        <v>AUD</v>
      </c>
      <c r="J797">
        <v>190069</v>
      </c>
      <c r="M797">
        <v>1476834.473</v>
      </c>
      <c r="N797">
        <v>2.0000000000000001E-4</v>
      </c>
    </row>
    <row r="798" spans="1:14" x14ac:dyDescent="0.35">
      <c r="A798" s="1">
        <v>45657</v>
      </c>
      <c r="B798" t="s">
        <v>14</v>
      </c>
      <c r="C798" t="s">
        <v>15</v>
      </c>
      <c r="D798" t="s">
        <v>81</v>
      </c>
      <c r="E798">
        <v>1</v>
      </c>
      <c r="F798" t="s">
        <v>1170</v>
      </c>
      <c r="H798">
        <v>2818740</v>
      </c>
      <c r="I798" t="str">
        <f>IF(ISBLANK(H798),"",INDEX(Sheet1!$F$2:$F$936,MATCH(H798,Sheet1!$C$2:$C$936,0)))</f>
        <v>United States</v>
      </c>
      <c r="J798">
        <v>666</v>
      </c>
      <c r="M798">
        <v>365278.2953</v>
      </c>
      <c r="N798">
        <v>1E-4</v>
      </c>
    </row>
    <row r="799" spans="1:14" x14ac:dyDescent="0.35">
      <c r="A799" s="1">
        <v>45657</v>
      </c>
      <c r="B799" t="s">
        <v>14</v>
      </c>
      <c r="C799" t="s">
        <v>15</v>
      </c>
      <c r="D799" t="s">
        <v>81</v>
      </c>
      <c r="E799">
        <v>1</v>
      </c>
      <c r="F799" t="s">
        <v>1171</v>
      </c>
      <c r="H799" t="s">
        <v>1172</v>
      </c>
      <c r="I799" t="str">
        <f>IF(ISBLANK(H799),"",INDEX(Sheet1!$F$2:$F$936,MATCH(H799,Sheet1!$C$2:$C$936,0)))</f>
        <v>Japan</v>
      </c>
      <c r="J799">
        <v>641352</v>
      </c>
      <c r="M799">
        <v>1310312.1939999999</v>
      </c>
      <c r="N799">
        <v>2.0000000000000001E-4</v>
      </c>
    </row>
    <row r="800" spans="1:14" x14ac:dyDescent="0.35">
      <c r="A800" s="1">
        <v>45657</v>
      </c>
      <c r="B800" t="s">
        <v>14</v>
      </c>
      <c r="C800" t="s">
        <v>15</v>
      </c>
      <c r="D800" t="s">
        <v>81</v>
      </c>
      <c r="E800">
        <v>1</v>
      </c>
      <c r="F800" t="s">
        <v>1173</v>
      </c>
      <c r="H800" t="s">
        <v>1174</v>
      </c>
      <c r="I800" t="str">
        <f>IF(ISBLANK(H800),"",INDEX(Sheet1!$F$2:$F$936,MATCH(H800,Sheet1!$C$2:$C$936,0)))</f>
        <v>AUD</v>
      </c>
      <c r="J800">
        <v>381060</v>
      </c>
      <c r="M800">
        <v>567778.91879999998</v>
      </c>
      <c r="N800">
        <v>1E-4</v>
      </c>
    </row>
    <row r="801" spans="1:14" x14ac:dyDescent="0.35">
      <c r="A801" s="1">
        <v>45657</v>
      </c>
      <c r="B801" t="s">
        <v>14</v>
      </c>
      <c r="C801" t="s">
        <v>15</v>
      </c>
      <c r="D801" t="s">
        <v>81</v>
      </c>
      <c r="E801">
        <v>1</v>
      </c>
      <c r="F801" t="s">
        <v>1175</v>
      </c>
      <c r="H801">
        <v>6821120</v>
      </c>
      <c r="I801" t="str">
        <f>IF(ISBLANK(H801),"",INDEX(Sheet1!$F$2:$F$936,MATCH(H801,Sheet1!$C$2:$C$936,0)))</f>
        <v>Australia</v>
      </c>
      <c r="J801">
        <v>181740</v>
      </c>
      <c r="M801">
        <v>4908791.0559999999</v>
      </c>
      <c r="N801">
        <v>6.9999999999999891E-4</v>
      </c>
    </row>
    <row r="802" spans="1:14" x14ac:dyDescent="0.35">
      <c r="A802" s="1">
        <v>45657</v>
      </c>
      <c r="B802" t="s">
        <v>14</v>
      </c>
      <c r="C802" t="s">
        <v>15</v>
      </c>
      <c r="D802" t="s">
        <v>81</v>
      </c>
      <c r="E802">
        <v>1</v>
      </c>
      <c r="F802" t="s">
        <v>1176</v>
      </c>
      <c r="H802">
        <v>7156036</v>
      </c>
      <c r="I802" t="str">
        <f>IF(ISBLANK(H802),"",INDEX(Sheet1!$F$2:$F$936,MATCH(H802,Sheet1!$C$2:$C$936,0)))</f>
        <v>Switzerland</v>
      </c>
      <c r="J802">
        <v>2932</v>
      </c>
      <c r="M802">
        <v>1546712.0419999999</v>
      </c>
      <c r="N802">
        <v>2.0000000000000001E-4</v>
      </c>
    </row>
    <row r="803" spans="1:14" x14ac:dyDescent="0.35">
      <c r="A803" s="1">
        <v>45657</v>
      </c>
      <c r="B803" t="s">
        <v>14</v>
      </c>
      <c r="C803" t="s">
        <v>15</v>
      </c>
      <c r="D803" t="s">
        <v>81</v>
      </c>
      <c r="E803">
        <v>1</v>
      </c>
      <c r="F803" t="s">
        <v>1177</v>
      </c>
      <c r="H803" t="s">
        <v>1178</v>
      </c>
      <c r="I803" t="str">
        <f>IF(ISBLANK(H803),"",INDEX(Sheet1!$F$2:$F$936,MATCH(H803,Sheet1!$C$2:$C$936,0)))</f>
        <v>AUD</v>
      </c>
      <c r="J803">
        <v>671175</v>
      </c>
      <c r="M803">
        <v>2281995.034</v>
      </c>
      <c r="N803">
        <v>2.9999999999999997E-4</v>
      </c>
    </row>
    <row r="804" spans="1:14" x14ac:dyDescent="0.35">
      <c r="A804" s="1">
        <v>45657</v>
      </c>
      <c r="B804" t="s">
        <v>14</v>
      </c>
      <c r="C804" t="s">
        <v>15</v>
      </c>
      <c r="D804" t="s">
        <v>81</v>
      </c>
      <c r="E804">
        <v>1</v>
      </c>
      <c r="F804" t="s">
        <v>1179</v>
      </c>
      <c r="H804" t="s">
        <v>1180</v>
      </c>
      <c r="I804" t="str">
        <f>IF(ISBLANK(H804),"",INDEX(Sheet1!$F$2:$F$936,MATCH(H804,Sheet1!$C$2:$C$936,0)))</f>
        <v>AU</v>
      </c>
      <c r="J804">
        <v>112539</v>
      </c>
      <c r="M804">
        <v>172747.62270000001</v>
      </c>
      <c r="N804">
        <v>0</v>
      </c>
    </row>
    <row r="805" spans="1:14" x14ac:dyDescent="0.35">
      <c r="A805" s="1">
        <v>45657</v>
      </c>
      <c r="B805" t="s">
        <v>14</v>
      </c>
      <c r="C805" t="s">
        <v>15</v>
      </c>
      <c r="D805" t="s">
        <v>81</v>
      </c>
      <c r="E805">
        <v>1</v>
      </c>
      <c r="F805" t="s">
        <v>1181</v>
      </c>
      <c r="H805" t="s">
        <v>1182</v>
      </c>
      <c r="I805" t="str">
        <f>IF(ISBLANK(H805),"",INDEX(Sheet1!$F$2:$F$936,MATCH(H805,Sheet1!$C$2:$C$936,0)))</f>
        <v>AUD</v>
      </c>
      <c r="J805">
        <v>1409691</v>
      </c>
      <c r="M805">
        <v>845814.41619999998</v>
      </c>
      <c r="N805">
        <v>1E-4</v>
      </c>
    </row>
    <row r="806" spans="1:14" x14ac:dyDescent="0.35">
      <c r="A806" s="1">
        <v>45657</v>
      </c>
      <c r="B806" t="s">
        <v>14</v>
      </c>
      <c r="C806" t="s">
        <v>15</v>
      </c>
      <c r="D806" t="s">
        <v>81</v>
      </c>
      <c r="E806">
        <v>1</v>
      </c>
      <c r="F806" t="s">
        <v>1183</v>
      </c>
      <c r="H806" t="s">
        <v>1184</v>
      </c>
      <c r="I806" t="str">
        <f>IF(ISBLANK(H806),"",INDEX(Sheet1!$F$2:$F$936,MATCH(H806,Sheet1!$C$2:$C$936,0)))</f>
        <v>Luxembourg</v>
      </c>
      <c r="J806">
        <v>7085</v>
      </c>
      <c r="M806">
        <v>5115855.4919999996</v>
      </c>
      <c r="N806">
        <v>6.9999999999999891E-4</v>
      </c>
    </row>
    <row r="807" spans="1:14" x14ac:dyDescent="0.35">
      <c r="A807" s="1">
        <v>45657</v>
      </c>
      <c r="B807" t="s">
        <v>14</v>
      </c>
      <c r="C807" t="s">
        <v>15</v>
      </c>
      <c r="D807" t="s">
        <v>81</v>
      </c>
      <c r="E807">
        <v>1</v>
      </c>
      <c r="F807" t="s">
        <v>1185</v>
      </c>
      <c r="H807" t="s">
        <v>1186</v>
      </c>
      <c r="I807" t="str">
        <f>IF(ISBLANK(H807),"",INDEX(Sheet1!$F$2:$F$936,MATCH(H807,Sheet1!$C$2:$C$936,0)))</f>
        <v>AUD</v>
      </c>
      <c r="J807">
        <v>507348</v>
      </c>
      <c r="M807">
        <v>687456.64099999995</v>
      </c>
      <c r="N807">
        <v>1E-4</v>
      </c>
    </row>
    <row r="808" spans="1:14" x14ac:dyDescent="0.35">
      <c r="A808" s="1">
        <v>45657</v>
      </c>
      <c r="B808" t="s">
        <v>14</v>
      </c>
      <c r="C808" t="s">
        <v>15</v>
      </c>
      <c r="D808" t="s">
        <v>81</v>
      </c>
      <c r="E808">
        <v>1</v>
      </c>
      <c r="F808" t="s">
        <v>1187</v>
      </c>
      <c r="H808" t="s">
        <v>1188</v>
      </c>
      <c r="I808" t="str">
        <f>IF(ISBLANK(H808),"",INDEX(Sheet1!$F$2:$F$936,MATCH(H808,Sheet1!$C$2:$C$936,0)))</f>
        <v>United States</v>
      </c>
      <c r="J808">
        <v>27559</v>
      </c>
      <c r="M808">
        <v>3373065.977</v>
      </c>
      <c r="N808">
        <v>5.0000000000000001E-4</v>
      </c>
    </row>
    <row r="809" spans="1:14" x14ac:dyDescent="0.35">
      <c r="A809" s="1">
        <v>45657</v>
      </c>
      <c r="B809" t="s">
        <v>14</v>
      </c>
      <c r="C809" t="s">
        <v>15</v>
      </c>
      <c r="D809" t="s">
        <v>81</v>
      </c>
      <c r="E809">
        <v>1</v>
      </c>
      <c r="F809" t="s">
        <v>1189</v>
      </c>
      <c r="H809" t="s">
        <v>1190</v>
      </c>
      <c r="I809" t="str">
        <f>IF(ISBLANK(H809),"",INDEX(Sheet1!$F$2:$F$936,MATCH(H809,Sheet1!$C$2:$C$936,0)))</f>
        <v>South Africa</v>
      </c>
      <c r="J809">
        <v>82400</v>
      </c>
      <c r="M809">
        <v>1564029.4569999999</v>
      </c>
      <c r="N809">
        <v>2.0000000000000001E-4</v>
      </c>
    </row>
    <row r="810" spans="1:14" x14ac:dyDescent="0.35">
      <c r="A810" s="1">
        <v>45657</v>
      </c>
      <c r="B810" t="s">
        <v>14</v>
      </c>
      <c r="C810" t="s">
        <v>15</v>
      </c>
      <c r="D810" t="s">
        <v>81</v>
      </c>
      <c r="E810">
        <v>1</v>
      </c>
      <c r="F810" t="s">
        <v>1191</v>
      </c>
      <c r="H810" t="s">
        <v>1192</v>
      </c>
      <c r="I810" t="str">
        <f>IF(ISBLANK(H810),"",INDEX(Sheet1!$F$2:$F$936,MATCH(H810,Sheet1!$C$2:$C$936,0)))</f>
        <v>AUD</v>
      </c>
      <c r="J810">
        <v>296244</v>
      </c>
      <c r="M810">
        <v>888733.16740000003</v>
      </c>
      <c r="N810">
        <v>1E-4</v>
      </c>
    </row>
    <row r="811" spans="1:14" x14ac:dyDescent="0.35">
      <c r="A811" s="1">
        <v>45657</v>
      </c>
      <c r="B811" t="s">
        <v>14</v>
      </c>
      <c r="C811" t="s">
        <v>15</v>
      </c>
      <c r="D811" t="s">
        <v>81</v>
      </c>
      <c r="E811">
        <v>1</v>
      </c>
      <c r="F811" t="s">
        <v>1193</v>
      </c>
      <c r="H811" t="s">
        <v>1194</v>
      </c>
      <c r="I811" t="str">
        <f>IF(ISBLANK(H811),"",INDEX(Sheet1!$F$2:$F$936,MATCH(H811,Sheet1!$C$2:$C$936,0)))</f>
        <v>AUD</v>
      </c>
      <c r="J811">
        <v>2592663</v>
      </c>
      <c r="M811">
        <v>492606.02110000001</v>
      </c>
      <c r="N811">
        <v>1E-4</v>
      </c>
    </row>
    <row r="812" spans="1:14" x14ac:dyDescent="0.35">
      <c r="A812" s="1">
        <v>45657</v>
      </c>
      <c r="B812" t="s">
        <v>14</v>
      </c>
      <c r="C812" t="s">
        <v>15</v>
      </c>
      <c r="D812" t="s">
        <v>81</v>
      </c>
      <c r="E812">
        <v>1</v>
      </c>
      <c r="F812" t="s">
        <v>1195</v>
      </c>
      <c r="H812" t="s">
        <v>1196</v>
      </c>
      <c r="I812" t="str">
        <f>IF(ISBLANK(H812),"",INDEX(Sheet1!$F$2:$F$936,MATCH(H812,Sheet1!$C$2:$C$936,0)))</f>
        <v>India</v>
      </c>
      <c r="J812">
        <v>40986</v>
      </c>
      <c r="M812">
        <v>615170.48820000002</v>
      </c>
      <c r="N812">
        <v>1E-4</v>
      </c>
    </row>
    <row r="813" spans="1:14" x14ac:dyDescent="0.35">
      <c r="A813" s="1">
        <v>45657</v>
      </c>
      <c r="B813" t="s">
        <v>14</v>
      </c>
      <c r="C813" t="s">
        <v>15</v>
      </c>
      <c r="D813" t="s">
        <v>81</v>
      </c>
      <c r="E813">
        <v>1</v>
      </c>
      <c r="F813" t="s">
        <v>1197</v>
      </c>
      <c r="H813" t="s">
        <v>1198</v>
      </c>
      <c r="I813" t="str">
        <f>IF(ISBLANK(H813),"",INDEX(Sheet1!$F$2:$F$936,MATCH(H813,Sheet1!$C$2:$C$936,0)))</f>
        <v>Australia</v>
      </c>
      <c r="J813">
        <v>825910</v>
      </c>
      <c r="M813">
        <v>4790280.1789999995</v>
      </c>
      <c r="N813">
        <v>6.9999999999999891E-4</v>
      </c>
    </row>
    <row r="814" spans="1:14" x14ac:dyDescent="0.35">
      <c r="A814" s="1">
        <v>45657</v>
      </c>
      <c r="B814" t="s">
        <v>14</v>
      </c>
      <c r="C814" t="s">
        <v>15</v>
      </c>
      <c r="D814" t="s">
        <v>81</v>
      </c>
      <c r="E814">
        <v>1</v>
      </c>
      <c r="F814" t="s">
        <v>1199</v>
      </c>
      <c r="H814">
        <v>2853688</v>
      </c>
      <c r="I814" t="str">
        <f>IF(ISBLANK(H814),"",INDEX(Sheet1!$F$2:$F$936,MATCH(H814,Sheet1!$C$2:$C$936,0)))</f>
        <v>United States</v>
      </c>
      <c r="J814">
        <v>9215</v>
      </c>
      <c r="M814">
        <v>5359087.7520000003</v>
      </c>
      <c r="N814">
        <v>6.9999999999999891E-4</v>
      </c>
    </row>
    <row r="815" spans="1:14" x14ac:dyDescent="0.35">
      <c r="A815" s="1">
        <v>45657</v>
      </c>
      <c r="B815" t="s">
        <v>14</v>
      </c>
      <c r="C815" t="s">
        <v>15</v>
      </c>
      <c r="D815" t="s">
        <v>81</v>
      </c>
      <c r="E815">
        <v>1</v>
      </c>
      <c r="F815" t="s">
        <v>1200</v>
      </c>
      <c r="H815">
        <v>6356406</v>
      </c>
      <c r="I815" t="str">
        <f>IF(ISBLANK(H815),"",INDEX(Sheet1!$F$2:$F$936,MATCH(H815,Sheet1!$C$2:$C$936,0)))</f>
        <v>Japan</v>
      </c>
      <c r="J815">
        <v>101088</v>
      </c>
      <c r="M815">
        <v>2925980.9040000001</v>
      </c>
      <c r="N815">
        <v>4.0000000000000002E-4</v>
      </c>
    </row>
    <row r="816" spans="1:14" x14ac:dyDescent="0.35">
      <c r="A816" s="1">
        <v>45657</v>
      </c>
      <c r="B816" t="s">
        <v>14</v>
      </c>
      <c r="C816" t="s">
        <v>15</v>
      </c>
      <c r="D816" t="s">
        <v>81</v>
      </c>
      <c r="E816">
        <v>1</v>
      </c>
      <c r="F816" t="s">
        <v>1201</v>
      </c>
      <c r="H816">
        <v>6858708</v>
      </c>
      <c r="I816" t="str">
        <f>IF(ISBLANK(H816),"",INDEX(Sheet1!$F$2:$F$936,MATCH(H816,Sheet1!$C$2:$C$936,0)))</f>
        <v>Japan</v>
      </c>
      <c r="J816">
        <v>109663</v>
      </c>
      <c r="M816">
        <v>3209674.5869999998</v>
      </c>
      <c r="N816">
        <v>4.0000000000000002E-4</v>
      </c>
    </row>
    <row r="817" spans="1:14" x14ac:dyDescent="0.35">
      <c r="A817" s="1">
        <v>45657</v>
      </c>
      <c r="B817" t="s">
        <v>14</v>
      </c>
      <c r="C817" t="s">
        <v>15</v>
      </c>
      <c r="D817" t="s">
        <v>81</v>
      </c>
      <c r="E817">
        <v>1</v>
      </c>
      <c r="F817" t="s">
        <v>1202</v>
      </c>
      <c r="H817">
        <v>6563024</v>
      </c>
      <c r="I817" t="str">
        <f>IF(ISBLANK(H817),"",INDEX(Sheet1!$F$2:$F$936,MATCH(H817,Sheet1!$C$2:$C$936,0)))</f>
        <v>Japan</v>
      </c>
      <c r="J817">
        <v>132057</v>
      </c>
      <c r="M817">
        <v>5106905.6119999997</v>
      </c>
      <c r="N817">
        <v>6.9999999999999891E-4</v>
      </c>
    </row>
    <row r="818" spans="1:14" x14ac:dyDescent="0.35">
      <c r="A818" s="1">
        <v>45657</v>
      </c>
      <c r="B818" t="s">
        <v>14</v>
      </c>
      <c r="C818" t="s">
        <v>15</v>
      </c>
      <c r="D818" t="s">
        <v>81</v>
      </c>
      <c r="E818">
        <v>1</v>
      </c>
      <c r="F818" t="s">
        <v>1203</v>
      </c>
      <c r="H818">
        <v>6859927</v>
      </c>
      <c r="I818" t="str">
        <f>IF(ISBLANK(H818),"",INDEX(Sheet1!$F$2:$F$936,MATCH(H818,Sheet1!$C$2:$C$936,0)))</f>
        <v>Hong Kong</v>
      </c>
      <c r="J818">
        <v>100152</v>
      </c>
      <c r="M818">
        <v>1553451.3689999999</v>
      </c>
      <c r="N818">
        <v>2.0000000000000001E-4</v>
      </c>
    </row>
    <row r="819" spans="1:14" x14ac:dyDescent="0.35">
      <c r="A819" s="1">
        <v>45657</v>
      </c>
      <c r="B819" t="s">
        <v>14</v>
      </c>
      <c r="C819" t="s">
        <v>15</v>
      </c>
      <c r="D819" t="s">
        <v>81</v>
      </c>
      <c r="E819">
        <v>1</v>
      </c>
      <c r="F819" t="s">
        <v>1204</v>
      </c>
      <c r="H819">
        <v>6582483</v>
      </c>
      <c r="I819" t="str">
        <f>IF(ISBLANK(H819),"",INDEX(Sheet1!$F$2:$F$936,MATCH(H819,Sheet1!$C$2:$C$936,0)))</f>
        <v>India</v>
      </c>
      <c r="J819">
        <v>19472</v>
      </c>
      <c r="M819">
        <v>694281.87410000002</v>
      </c>
      <c r="N819">
        <v>1E-4</v>
      </c>
    </row>
    <row r="820" spans="1:14" x14ac:dyDescent="0.35">
      <c r="A820" s="1">
        <v>45657</v>
      </c>
      <c r="B820" t="s">
        <v>14</v>
      </c>
      <c r="C820" t="s">
        <v>15</v>
      </c>
      <c r="D820" t="s">
        <v>81</v>
      </c>
      <c r="E820">
        <v>1</v>
      </c>
      <c r="F820" t="s">
        <v>1205</v>
      </c>
      <c r="H820" t="s">
        <v>1206</v>
      </c>
      <c r="I820" t="str">
        <f>IF(ISBLANK(H820),"",INDEX(Sheet1!$F$2:$F$936,MATCH(H820,Sheet1!$C$2:$C$936,0)))</f>
        <v>Canada</v>
      </c>
      <c r="J820">
        <v>20064</v>
      </c>
      <c r="M820">
        <v>1153656.274</v>
      </c>
      <c r="N820">
        <v>2.0000000000000001E-4</v>
      </c>
    </row>
    <row r="821" spans="1:14" x14ac:dyDescent="0.35">
      <c r="A821" s="1">
        <v>45657</v>
      </c>
      <c r="B821" t="s">
        <v>14</v>
      </c>
      <c r="C821" t="s">
        <v>15</v>
      </c>
      <c r="D821" t="s">
        <v>81</v>
      </c>
      <c r="E821">
        <v>1</v>
      </c>
      <c r="F821" t="s">
        <v>1207</v>
      </c>
      <c r="H821">
        <v>6585084</v>
      </c>
      <c r="I821" t="str">
        <f>IF(ISBLANK(H821),"",INDEX(Sheet1!$F$2:$F$936,MATCH(H821,Sheet1!$C$2:$C$936,0)))</f>
        <v>Australia</v>
      </c>
      <c r="J821">
        <v>532280</v>
      </c>
      <c r="M821">
        <v>10118635.130000001</v>
      </c>
      <c r="N821">
        <v>1.3999999999999898E-3</v>
      </c>
    </row>
    <row r="822" spans="1:14" x14ac:dyDescent="0.35">
      <c r="A822" s="1">
        <v>45657</v>
      </c>
      <c r="B822" t="s">
        <v>14</v>
      </c>
      <c r="C822" t="s">
        <v>15</v>
      </c>
      <c r="D822" t="s">
        <v>81</v>
      </c>
      <c r="E822">
        <v>1</v>
      </c>
      <c r="F822" t="s">
        <v>1208</v>
      </c>
      <c r="H822" t="s">
        <v>1209</v>
      </c>
      <c r="I822" t="str">
        <f>IF(ISBLANK(H822),"",INDEX(Sheet1!$F$2:$F$936,MATCH(H822,Sheet1!$C$2:$C$936,0)))</f>
        <v>AUD</v>
      </c>
      <c r="J822">
        <v>257441</v>
      </c>
      <c r="M822">
        <v>545774.71770000004</v>
      </c>
      <c r="N822">
        <v>1E-4</v>
      </c>
    </row>
    <row r="823" spans="1:14" x14ac:dyDescent="0.35">
      <c r="A823" s="1">
        <v>45657</v>
      </c>
      <c r="B823" t="s">
        <v>14</v>
      </c>
      <c r="C823" t="s">
        <v>15</v>
      </c>
      <c r="D823" t="s">
        <v>81</v>
      </c>
      <c r="E823">
        <v>1</v>
      </c>
      <c r="F823" t="s">
        <v>1210</v>
      </c>
      <c r="H823">
        <v>6580993</v>
      </c>
      <c r="I823" t="str">
        <f>IF(ISBLANK(H823),"",INDEX(Sheet1!$F$2:$F$936,MATCH(H823,Sheet1!$C$2:$C$936,0)))</f>
        <v>AUD</v>
      </c>
      <c r="J823">
        <v>4678</v>
      </c>
      <c r="M823">
        <v>145032.6783</v>
      </c>
      <c r="N823">
        <v>0</v>
      </c>
    </row>
    <row r="824" spans="1:14" x14ac:dyDescent="0.35">
      <c r="A824" s="1">
        <v>45657</v>
      </c>
      <c r="B824" t="s">
        <v>14</v>
      </c>
      <c r="C824" t="s">
        <v>15</v>
      </c>
      <c r="D824" t="s">
        <v>81</v>
      </c>
      <c r="E824">
        <v>1</v>
      </c>
      <c r="F824" t="s">
        <v>1211</v>
      </c>
      <c r="H824">
        <v>6865504</v>
      </c>
      <c r="I824" t="str">
        <f>IF(ISBLANK(H824),"",INDEX(Sheet1!$F$2:$F$936,MATCH(H824,Sheet1!$C$2:$C$936,0)))</f>
        <v>Japan</v>
      </c>
      <c r="J824">
        <v>24732</v>
      </c>
      <c r="M824">
        <v>454842.17509999999</v>
      </c>
      <c r="N824">
        <v>1E-4</v>
      </c>
    </row>
    <row r="825" spans="1:14" x14ac:dyDescent="0.35">
      <c r="A825" s="1">
        <v>45657</v>
      </c>
      <c r="B825" t="s">
        <v>14</v>
      </c>
      <c r="C825" t="s">
        <v>15</v>
      </c>
      <c r="D825" t="s">
        <v>81</v>
      </c>
      <c r="E825">
        <v>1</v>
      </c>
      <c r="F825" t="s">
        <v>1212</v>
      </c>
      <c r="H825">
        <v>6867748</v>
      </c>
      <c r="I825" t="str">
        <f>IF(ISBLANK(H825),"",INDEX(Sheet1!$F$2:$F$936,MATCH(H825,Sheet1!$C$2:$C$936,0)))</f>
        <v>Hong Kong</v>
      </c>
      <c r="J825">
        <v>223700</v>
      </c>
      <c r="M825">
        <v>3276763.7740000002</v>
      </c>
      <c r="N825">
        <v>5.0000000000000001E-4</v>
      </c>
    </row>
    <row r="826" spans="1:14" x14ac:dyDescent="0.35">
      <c r="A826" s="1">
        <v>45657</v>
      </c>
      <c r="B826" t="s">
        <v>14</v>
      </c>
      <c r="C826" t="s">
        <v>15</v>
      </c>
      <c r="D826" t="s">
        <v>81</v>
      </c>
      <c r="E826">
        <v>1</v>
      </c>
      <c r="F826" t="s">
        <v>1213</v>
      </c>
      <c r="H826" t="s">
        <v>1214</v>
      </c>
      <c r="I826" t="str">
        <f>IF(ISBLANK(H826),"",INDEX(Sheet1!$F$2:$F$936,MATCH(H826,Sheet1!$C$2:$C$936,0)))</f>
        <v>United States</v>
      </c>
      <c r="J826">
        <v>21058</v>
      </c>
      <c r="M826">
        <v>806050.83219999995</v>
      </c>
      <c r="N826">
        <v>1E-4</v>
      </c>
    </row>
    <row r="827" spans="1:14" x14ac:dyDescent="0.35">
      <c r="A827" s="1">
        <v>45657</v>
      </c>
      <c r="B827" t="s">
        <v>14</v>
      </c>
      <c r="C827" t="s">
        <v>15</v>
      </c>
      <c r="D827" t="s">
        <v>81</v>
      </c>
      <c r="E827">
        <v>1</v>
      </c>
      <c r="F827" t="s">
        <v>1215</v>
      </c>
      <c r="H827">
        <v>2867719</v>
      </c>
      <c r="I827" t="str">
        <f>IF(ISBLANK(H827),"",INDEX(Sheet1!$F$2:$F$936,MATCH(H827,Sheet1!$C$2:$C$936,0)))</f>
        <v>United States</v>
      </c>
      <c r="J827">
        <v>3122</v>
      </c>
      <c r="M827">
        <v>2445020.108</v>
      </c>
      <c r="N827">
        <v>2.9999999999999997E-4</v>
      </c>
    </row>
    <row r="828" spans="1:14" x14ac:dyDescent="0.35">
      <c r="A828" s="1">
        <v>45657</v>
      </c>
      <c r="B828" t="s">
        <v>14</v>
      </c>
      <c r="C828" t="s">
        <v>15</v>
      </c>
      <c r="D828" t="s">
        <v>81</v>
      </c>
      <c r="E828">
        <v>1</v>
      </c>
      <c r="F828" t="s">
        <v>1216</v>
      </c>
      <c r="H828">
        <v>2702337</v>
      </c>
      <c r="I828" t="str">
        <f>IF(ISBLANK(H828),"",INDEX(Sheet1!$F$2:$F$936,MATCH(H828,Sheet1!$C$2:$C$936,0)))</f>
        <v>United States</v>
      </c>
      <c r="J828">
        <v>16630</v>
      </c>
      <c r="M828">
        <v>3037197.0759999999</v>
      </c>
      <c r="N828">
        <v>4.0000000000000002E-4</v>
      </c>
    </row>
    <row r="829" spans="1:14" x14ac:dyDescent="0.35">
      <c r="A829" s="1">
        <v>45657</v>
      </c>
      <c r="B829" t="s">
        <v>14</v>
      </c>
      <c r="C829" t="s">
        <v>15</v>
      </c>
      <c r="D829" t="s">
        <v>81</v>
      </c>
      <c r="E829">
        <v>1</v>
      </c>
      <c r="F829" t="s">
        <v>1217</v>
      </c>
      <c r="H829">
        <v>6873262</v>
      </c>
      <c r="I829" t="str">
        <f>IF(ISBLANK(H829),"",INDEX(Sheet1!$F$2:$F$936,MATCH(H829,Sheet1!$C$2:$C$936,0)))</f>
        <v>Australia</v>
      </c>
      <c r="J829">
        <v>13671684</v>
      </c>
      <c r="M829">
        <v>7724501.1969999997</v>
      </c>
      <c r="N829">
        <v>1.1000000000000001E-3</v>
      </c>
    </row>
    <row r="830" spans="1:14" x14ac:dyDescent="0.35">
      <c r="A830" s="1">
        <v>45657</v>
      </c>
      <c r="B830" t="s">
        <v>14</v>
      </c>
      <c r="C830" t="s">
        <v>15</v>
      </c>
      <c r="D830" t="s">
        <v>81</v>
      </c>
      <c r="E830">
        <v>1</v>
      </c>
      <c r="F830" t="s">
        <v>1218</v>
      </c>
      <c r="H830">
        <v>5735631</v>
      </c>
      <c r="I830" t="str">
        <f>IF(ISBLANK(H830),"",INDEX(Sheet1!$F$2:$F$936,MATCH(H830,Sheet1!$C$2:$C$936,0)))</f>
        <v>EUR</v>
      </c>
      <c r="J830">
        <v>91680</v>
      </c>
      <c r="M830">
        <v>2189571.3569999998</v>
      </c>
      <c r="N830">
        <v>2.9999999999999997E-4</v>
      </c>
    </row>
    <row r="831" spans="1:14" x14ac:dyDescent="0.35">
      <c r="A831" s="1">
        <v>45657</v>
      </c>
      <c r="B831" t="s">
        <v>14</v>
      </c>
      <c r="C831" t="s">
        <v>15</v>
      </c>
      <c r="D831" t="s">
        <v>81</v>
      </c>
      <c r="E831">
        <v>1</v>
      </c>
      <c r="F831" t="s">
        <v>1219</v>
      </c>
      <c r="H831">
        <v>2113382</v>
      </c>
      <c r="I831" t="str">
        <f>IF(ISBLANK(H831),"",INDEX(Sheet1!$F$2:$F$936,MATCH(H831,Sheet1!$C$2:$C$936,0)))</f>
        <v>Taiwan</v>
      </c>
      <c r="J831">
        <v>132352</v>
      </c>
      <c r="M831">
        <v>42235529.600000001</v>
      </c>
      <c r="N831">
        <v>5.7999999999999996E-3</v>
      </c>
    </row>
    <row r="832" spans="1:14" x14ac:dyDescent="0.35">
      <c r="A832" s="1">
        <v>45657</v>
      </c>
      <c r="B832" t="s">
        <v>14</v>
      </c>
      <c r="C832" t="s">
        <v>15</v>
      </c>
      <c r="D832" t="s">
        <v>81</v>
      </c>
      <c r="E832">
        <v>1</v>
      </c>
      <c r="F832" t="s">
        <v>1220</v>
      </c>
      <c r="H832">
        <v>6889106</v>
      </c>
      <c r="I832" t="str">
        <f>IF(ISBLANK(H832),"",INDEX(Sheet1!$F$2:$F$936,MATCH(H832,Sheet1!$C$2:$C$936,0)))</f>
        <v>Taiwan</v>
      </c>
      <c r="J832">
        <v>324322</v>
      </c>
      <c r="M832">
        <v>17175914.949999999</v>
      </c>
      <c r="N832">
        <v>2.3999999999999998E-3</v>
      </c>
    </row>
    <row r="833" spans="1:14" x14ac:dyDescent="0.35">
      <c r="A833" s="1">
        <v>45657</v>
      </c>
      <c r="B833" t="s">
        <v>14</v>
      </c>
      <c r="C833" t="s">
        <v>15</v>
      </c>
      <c r="D833" t="s">
        <v>81</v>
      </c>
      <c r="E833">
        <v>1</v>
      </c>
      <c r="F833" t="s">
        <v>1221</v>
      </c>
      <c r="H833" t="s">
        <v>1222</v>
      </c>
      <c r="I833" t="str">
        <f>IF(ISBLANK(H833),"",INDEX(Sheet1!$F$2:$F$936,MATCH(H833,Sheet1!$C$2:$C$936,0)))</f>
        <v>United States</v>
      </c>
      <c r="J833">
        <v>12071</v>
      </c>
      <c r="M833">
        <v>3478704.267</v>
      </c>
      <c r="N833">
        <v>5.0000000000000001E-4</v>
      </c>
    </row>
    <row r="834" spans="1:14" x14ac:dyDescent="0.35">
      <c r="A834" s="1">
        <v>45657</v>
      </c>
      <c r="B834" t="s">
        <v>14</v>
      </c>
      <c r="C834" t="s">
        <v>15</v>
      </c>
      <c r="D834" t="s">
        <v>81</v>
      </c>
      <c r="E834">
        <v>1</v>
      </c>
      <c r="F834" t="s">
        <v>1223</v>
      </c>
      <c r="H834" t="s">
        <v>1224</v>
      </c>
      <c r="I834" t="str">
        <f>IF(ISBLANK(H834),"",INDEX(Sheet1!$F$2:$F$936,MATCH(H834,Sheet1!$C$2:$C$936,0)))</f>
        <v>INR</v>
      </c>
      <c r="J834">
        <v>14912</v>
      </c>
      <c r="M834">
        <v>1154835.378</v>
      </c>
      <c r="N834">
        <v>2.0000000000000001E-4</v>
      </c>
    </row>
    <row r="835" spans="1:14" x14ac:dyDescent="0.35">
      <c r="A835" s="1">
        <v>45657</v>
      </c>
      <c r="B835" t="s">
        <v>14</v>
      </c>
      <c r="C835" t="s">
        <v>15</v>
      </c>
      <c r="D835" t="s">
        <v>81</v>
      </c>
      <c r="E835">
        <v>1</v>
      </c>
      <c r="F835" t="s">
        <v>1225</v>
      </c>
      <c r="H835" t="s">
        <v>1226</v>
      </c>
      <c r="I835" t="str">
        <f>IF(ISBLANK(H835),"",INDEX(Sheet1!$F$2:$F$936,MATCH(H835,Sheet1!$C$2:$C$936,0)))</f>
        <v>United States</v>
      </c>
      <c r="J835">
        <v>7938</v>
      </c>
      <c r="M835">
        <v>1833571.3319999999</v>
      </c>
      <c r="N835">
        <v>2.9999999999999997E-4</v>
      </c>
    </row>
    <row r="836" spans="1:14" x14ac:dyDescent="0.35">
      <c r="A836" s="1">
        <v>45657</v>
      </c>
      <c r="B836" t="s">
        <v>14</v>
      </c>
      <c r="C836" t="s">
        <v>15</v>
      </c>
      <c r="D836" t="s">
        <v>81</v>
      </c>
      <c r="E836">
        <v>1</v>
      </c>
      <c r="F836" t="s">
        <v>1227</v>
      </c>
      <c r="H836" t="s">
        <v>1228</v>
      </c>
      <c r="I836" t="str">
        <f>IF(ISBLANK(H836),"",INDEX(Sheet1!$F$2:$F$936,MATCH(H836,Sheet1!$C$2:$C$936,0)))</f>
        <v>INR</v>
      </c>
      <c r="J836">
        <v>27489</v>
      </c>
      <c r="M836">
        <v>884173.34250000003</v>
      </c>
      <c r="N836">
        <v>1E-4</v>
      </c>
    </row>
    <row r="837" spans="1:14" x14ac:dyDescent="0.35">
      <c r="A837" s="1">
        <v>45657</v>
      </c>
      <c r="B837" t="s">
        <v>14</v>
      </c>
      <c r="C837" t="s">
        <v>15</v>
      </c>
      <c r="D837" t="s">
        <v>81</v>
      </c>
      <c r="E837">
        <v>1</v>
      </c>
      <c r="F837" t="s">
        <v>1229</v>
      </c>
      <c r="H837">
        <v>6302410</v>
      </c>
      <c r="I837" t="str">
        <f>IF(ISBLANK(H837),"",INDEX(Sheet1!$F$2:$F$936,MATCH(H837,Sheet1!$C$2:$C$936,0)))</f>
        <v>Australia</v>
      </c>
      <c r="J837">
        <v>115295</v>
      </c>
      <c r="M837">
        <v>3572998.5529999998</v>
      </c>
      <c r="N837">
        <v>5.0000000000000001E-4</v>
      </c>
    </row>
    <row r="838" spans="1:14" x14ac:dyDescent="0.35">
      <c r="A838" s="1">
        <v>45657</v>
      </c>
      <c r="B838" t="s">
        <v>14</v>
      </c>
      <c r="C838" t="s">
        <v>15</v>
      </c>
      <c r="D838" t="s">
        <v>81</v>
      </c>
      <c r="E838">
        <v>1</v>
      </c>
      <c r="F838" t="s">
        <v>1230</v>
      </c>
      <c r="H838" t="s">
        <v>1231</v>
      </c>
      <c r="I838" t="str">
        <f>IF(ISBLANK(H838),"",INDEX(Sheet1!$F$2:$F$936,MATCH(H838,Sheet1!$C$2:$C$936,0)))</f>
        <v>Sweden</v>
      </c>
      <c r="J838">
        <v>8883</v>
      </c>
      <c r="M838">
        <v>141407.2458</v>
      </c>
      <c r="N838">
        <v>0</v>
      </c>
    </row>
    <row r="839" spans="1:14" x14ac:dyDescent="0.35">
      <c r="A839" s="1">
        <v>45657</v>
      </c>
      <c r="B839" t="s">
        <v>14</v>
      </c>
      <c r="C839" t="s">
        <v>15</v>
      </c>
      <c r="D839" t="s">
        <v>81</v>
      </c>
      <c r="E839">
        <v>1</v>
      </c>
      <c r="F839" t="s">
        <v>1232</v>
      </c>
      <c r="H839">
        <v>2881407</v>
      </c>
      <c r="I839" t="str">
        <f>IF(ISBLANK(H839),"",INDEX(Sheet1!$F$2:$F$936,MATCH(H839,Sheet1!$C$2:$C$936,0)))</f>
        <v>USD</v>
      </c>
      <c r="J839">
        <v>1955</v>
      </c>
      <c r="M839">
        <v>561636.81189999997</v>
      </c>
      <c r="N839">
        <v>1E-4</v>
      </c>
    </row>
    <row r="840" spans="1:14" x14ac:dyDescent="0.35">
      <c r="A840" s="1">
        <v>45657</v>
      </c>
      <c r="B840" t="s">
        <v>14</v>
      </c>
      <c r="C840" t="s">
        <v>15</v>
      </c>
      <c r="D840" t="s">
        <v>81</v>
      </c>
      <c r="E840">
        <v>1</v>
      </c>
      <c r="F840" t="s">
        <v>1233</v>
      </c>
      <c r="H840">
        <v>5959378</v>
      </c>
      <c r="I840" t="str">
        <f>IF(ISBLANK(H840),"",INDEX(Sheet1!$F$2:$F$936,MATCH(H840,Sheet1!$C$2:$C$936,0)))</f>
        <v>Sweden</v>
      </c>
      <c r="J840">
        <v>55117</v>
      </c>
      <c r="M840">
        <v>722043.19550000003</v>
      </c>
      <c r="N840">
        <v>1E-4</v>
      </c>
    </row>
    <row r="841" spans="1:14" x14ac:dyDescent="0.35">
      <c r="A841" s="1">
        <v>45657</v>
      </c>
      <c r="B841" t="s">
        <v>14</v>
      </c>
      <c r="C841" t="s">
        <v>15</v>
      </c>
      <c r="D841" t="s">
        <v>81</v>
      </c>
      <c r="E841">
        <v>1</v>
      </c>
      <c r="F841" t="s">
        <v>1234</v>
      </c>
      <c r="H841" t="s">
        <v>1235</v>
      </c>
      <c r="I841" t="str">
        <f>IF(ISBLANK(H841),"",INDEX(Sheet1!$F$2:$F$936,MATCH(H841,Sheet1!$C$2:$C$936,0)))</f>
        <v>Brazil</v>
      </c>
      <c r="J841">
        <v>36107</v>
      </c>
      <c r="M841">
        <v>441400.66110000003</v>
      </c>
      <c r="N841">
        <v>1E-4</v>
      </c>
    </row>
    <row r="842" spans="1:14" x14ac:dyDescent="0.35">
      <c r="A842" s="1">
        <v>45657</v>
      </c>
      <c r="B842" t="s">
        <v>14</v>
      </c>
      <c r="C842" t="s">
        <v>15</v>
      </c>
      <c r="D842" t="s">
        <v>81</v>
      </c>
      <c r="E842">
        <v>1</v>
      </c>
      <c r="F842" t="s">
        <v>1236</v>
      </c>
      <c r="H842" t="s">
        <v>1237</v>
      </c>
      <c r="I842" t="str">
        <f>IF(ISBLANK(H842),"",INDEX(Sheet1!$F$2:$F$936,MATCH(H842,Sheet1!$C$2:$C$936,0)))</f>
        <v>Australia</v>
      </c>
      <c r="J842">
        <v>104378</v>
      </c>
      <c r="M842">
        <v>2492554.0249999999</v>
      </c>
      <c r="N842">
        <v>2.9999999999999997E-4</v>
      </c>
    </row>
    <row r="843" spans="1:14" x14ac:dyDescent="0.35">
      <c r="A843" s="1">
        <v>45657</v>
      </c>
      <c r="B843" t="s">
        <v>14</v>
      </c>
      <c r="C843" t="s">
        <v>15</v>
      </c>
      <c r="D843" t="s">
        <v>81</v>
      </c>
      <c r="E843">
        <v>1</v>
      </c>
      <c r="F843" t="s">
        <v>1238</v>
      </c>
      <c r="H843">
        <v>6087289</v>
      </c>
      <c r="I843" t="str">
        <f>IF(ISBLANK(H843),"",INDEX(Sheet1!$F$2:$F$936,MATCH(H843,Sheet1!$C$2:$C$936,0)))</f>
        <v>Australia</v>
      </c>
      <c r="J843">
        <v>4462065</v>
      </c>
      <c r="M843">
        <v>17892879.030000001</v>
      </c>
      <c r="N843">
        <v>2.5000000000000001E-3</v>
      </c>
    </row>
    <row r="844" spans="1:14" x14ac:dyDescent="0.35">
      <c r="A844" s="1">
        <v>45657</v>
      </c>
      <c r="B844" t="s">
        <v>14</v>
      </c>
      <c r="C844" t="s">
        <v>15</v>
      </c>
      <c r="D844" t="s">
        <v>81</v>
      </c>
      <c r="E844">
        <v>1</v>
      </c>
      <c r="F844" t="s">
        <v>1239</v>
      </c>
      <c r="H844" t="s">
        <v>1240</v>
      </c>
      <c r="I844" t="str">
        <f>IF(ISBLANK(H844),"",INDEX(Sheet1!$F$2:$F$936,MATCH(H844,Sheet1!$C$2:$C$936,0)))</f>
        <v>Australia</v>
      </c>
      <c r="J844">
        <v>60243</v>
      </c>
      <c r="M844">
        <v>764488.20429999998</v>
      </c>
      <c r="N844">
        <v>1E-4</v>
      </c>
    </row>
    <row r="845" spans="1:14" x14ac:dyDescent="0.35">
      <c r="A845" s="1">
        <v>45657</v>
      </c>
      <c r="B845" t="s">
        <v>14</v>
      </c>
      <c r="C845" t="s">
        <v>15</v>
      </c>
      <c r="D845" t="s">
        <v>81</v>
      </c>
      <c r="E845">
        <v>1</v>
      </c>
      <c r="F845" t="s">
        <v>1241</v>
      </c>
      <c r="H845" t="s">
        <v>1242</v>
      </c>
      <c r="I845" t="str">
        <f>IF(ISBLANK(H845),"",INDEX(Sheet1!$F$2:$F$936,MATCH(H845,Sheet1!$C$2:$C$936,0)))</f>
        <v>China</v>
      </c>
      <c r="J845">
        <v>185137</v>
      </c>
      <c r="M845">
        <v>16051958.24</v>
      </c>
      <c r="N845">
        <v>2.2000000000000001E-3</v>
      </c>
    </row>
    <row r="846" spans="1:14" x14ac:dyDescent="0.35">
      <c r="A846" s="1">
        <v>45657</v>
      </c>
      <c r="B846" t="s">
        <v>14</v>
      </c>
      <c r="C846" t="s">
        <v>15</v>
      </c>
      <c r="D846" t="s">
        <v>81</v>
      </c>
      <c r="E846">
        <v>1</v>
      </c>
      <c r="F846" t="s">
        <v>1243</v>
      </c>
      <c r="H846" t="s">
        <v>1244</v>
      </c>
      <c r="I846" t="str">
        <f>IF(ISBLANK(H846),"",INDEX(Sheet1!$F$2:$F$936,MATCH(H846,Sheet1!$C$2:$C$936,0)))</f>
        <v>China</v>
      </c>
      <c r="J846">
        <v>56125</v>
      </c>
      <c r="M846">
        <v>1027956.1040000001</v>
      </c>
      <c r="N846">
        <v>1E-4</v>
      </c>
    </row>
    <row r="847" spans="1:14" x14ac:dyDescent="0.35">
      <c r="A847" s="1">
        <v>45657</v>
      </c>
      <c r="B847" t="s">
        <v>14</v>
      </c>
      <c r="C847" t="s">
        <v>15</v>
      </c>
      <c r="D847" t="s">
        <v>81</v>
      </c>
      <c r="E847">
        <v>1</v>
      </c>
      <c r="F847" t="s">
        <v>1245</v>
      </c>
      <c r="H847">
        <v>2884183</v>
      </c>
      <c r="I847" t="str">
        <f>IF(ISBLANK(H847),"",INDEX(Sheet1!$F$2:$F$936,MATCH(H847,Sheet1!$C$2:$C$936,0)))</f>
        <v>United States</v>
      </c>
      <c r="J847">
        <v>2436</v>
      </c>
      <c r="M847">
        <v>495405.01199999999</v>
      </c>
      <c r="N847">
        <v>1E-4</v>
      </c>
    </row>
    <row r="848" spans="1:14" x14ac:dyDescent="0.35">
      <c r="A848" s="1">
        <v>45657</v>
      </c>
      <c r="B848" t="s">
        <v>14</v>
      </c>
      <c r="C848" t="s">
        <v>15</v>
      </c>
      <c r="D848" t="s">
        <v>81</v>
      </c>
      <c r="E848">
        <v>1</v>
      </c>
      <c r="F848" t="s">
        <v>1246</v>
      </c>
      <c r="H848" t="s">
        <v>1247</v>
      </c>
      <c r="I848" t="str">
        <f>IF(ISBLANK(H848),"",INDEX(Sheet1!$F$2:$F$936,MATCH(H848,Sheet1!$C$2:$C$936,0)))</f>
        <v>AUD</v>
      </c>
      <c r="J848">
        <v>3232442</v>
      </c>
      <c r="M848">
        <v>581839.61569999997</v>
      </c>
      <c r="N848">
        <v>1E-4</v>
      </c>
    </row>
    <row r="849" spans="1:14" x14ac:dyDescent="0.35">
      <c r="A849" s="1">
        <v>45657</v>
      </c>
      <c r="B849" t="s">
        <v>14</v>
      </c>
      <c r="C849" t="s">
        <v>15</v>
      </c>
      <c r="D849" t="s">
        <v>81</v>
      </c>
      <c r="E849">
        <v>1</v>
      </c>
      <c r="F849" t="s">
        <v>1248</v>
      </c>
      <c r="H849" t="s">
        <v>1249</v>
      </c>
      <c r="I849" t="str">
        <f>IF(ISBLANK(H849),"",INDEX(Sheet1!$F$2:$F$936,MATCH(H849,Sheet1!$C$2:$C$936,0)))</f>
        <v>United Kingdom</v>
      </c>
      <c r="J849">
        <v>501234</v>
      </c>
      <c r="M849">
        <v>3734128.1680000001</v>
      </c>
      <c r="N849">
        <v>5.0000000000000001E-4</v>
      </c>
    </row>
    <row r="850" spans="1:14" x14ac:dyDescent="0.35">
      <c r="A850" s="1">
        <v>45657</v>
      </c>
      <c r="B850" t="s">
        <v>14</v>
      </c>
      <c r="C850" t="s">
        <v>15</v>
      </c>
      <c r="D850" t="s">
        <v>81</v>
      </c>
      <c r="E850">
        <v>1</v>
      </c>
      <c r="F850" t="s">
        <v>1250</v>
      </c>
      <c r="H850" t="s">
        <v>1251</v>
      </c>
      <c r="I850" t="str">
        <f>IF(ISBLANK(H850),"",INDEX(Sheet1!$F$2:$F$936,MATCH(H850,Sheet1!$C$2:$C$936,0)))</f>
        <v>United States</v>
      </c>
      <c r="J850">
        <v>41624</v>
      </c>
      <c r="M850">
        <v>27134810.66</v>
      </c>
      <c r="N850">
        <v>3.8E-3</v>
      </c>
    </row>
    <row r="851" spans="1:14" x14ac:dyDescent="0.35">
      <c r="A851" s="1">
        <v>45657</v>
      </c>
      <c r="B851" t="s">
        <v>14</v>
      </c>
      <c r="C851" t="s">
        <v>15</v>
      </c>
      <c r="D851" t="s">
        <v>81</v>
      </c>
      <c r="E851">
        <v>1</v>
      </c>
      <c r="F851" t="s">
        <v>1252</v>
      </c>
      <c r="H851">
        <v>2883878</v>
      </c>
      <c r="I851" t="str">
        <f>IF(ISBLANK(H851),"",INDEX(Sheet1!$F$2:$F$936,MATCH(H851,Sheet1!$C$2:$C$936,0)))</f>
        <v>Israel</v>
      </c>
      <c r="J851">
        <v>8691</v>
      </c>
      <c r="M851">
        <v>309247.32520000002</v>
      </c>
      <c r="N851">
        <v>0</v>
      </c>
    </row>
    <row r="852" spans="1:14" x14ac:dyDescent="0.35">
      <c r="A852" s="1">
        <v>45657</v>
      </c>
      <c r="B852" t="s">
        <v>14</v>
      </c>
      <c r="C852" t="s">
        <v>15</v>
      </c>
      <c r="D852" t="s">
        <v>81</v>
      </c>
      <c r="E852">
        <v>1</v>
      </c>
      <c r="F852" t="s">
        <v>1253</v>
      </c>
      <c r="H852">
        <v>2885409</v>
      </c>
      <c r="I852" t="str">
        <f>IF(ISBLANK(H852),"",INDEX(Sheet1!$F$2:$F$936,MATCH(H852,Sheet1!$C$2:$C$936,0)))</f>
        <v>United States</v>
      </c>
      <c r="J852">
        <v>4099</v>
      </c>
      <c r="M852">
        <v>1241365.233</v>
      </c>
      <c r="N852">
        <v>2.0000000000000001E-4</v>
      </c>
    </row>
    <row r="853" spans="1:14" x14ac:dyDescent="0.35">
      <c r="A853" s="1">
        <v>45657</v>
      </c>
      <c r="B853" t="s">
        <v>14</v>
      </c>
      <c r="C853" t="s">
        <v>15</v>
      </c>
      <c r="D853" t="s">
        <v>81</v>
      </c>
      <c r="E853">
        <v>1</v>
      </c>
      <c r="F853" t="s">
        <v>1254</v>
      </c>
      <c r="H853" t="s">
        <v>1255</v>
      </c>
      <c r="I853" t="str">
        <f>IF(ISBLANK(H853),"",INDEX(Sheet1!$F$2:$F$936,MATCH(H853,Sheet1!$C$2:$C$936,0)))</f>
        <v>United States</v>
      </c>
      <c r="J853">
        <v>138</v>
      </c>
      <c r="M853">
        <v>245985.6286</v>
      </c>
      <c r="N853">
        <v>0</v>
      </c>
    </row>
    <row r="854" spans="1:14" x14ac:dyDescent="0.35">
      <c r="A854" s="1">
        <v>45657</v>
      </c>
      <c r="B854" t="s">
        <v>14</v>
      </c>
      <c r="C854" t="s">
        <v>15</v>
      </c>
      <c r="D854" t="s">
        <v>81</v>
      </c>
      <c r="E854">
        <v>1</v>
      </c>
      <c r="F854" t="s">
        <v>1256</v>
      </c>
      <c r="H854">
        <v>2885937</v>
      </c>
      <c r="I854" t="str">
        <f>IF(ISBLANK(H854),"",INDEX(Sheet1!$F$2:$F$936,MATCH(H854,Sheet1!$C$2:$C$936,0)))</f>
        <v>United States</v>
      </c>
      <c r="J854">
        <v>12411</v>
      </c>
      <c r="M854">
        <v>1532473.8529999999</v>
      </c>
      <c r="N854">
        <v>2.0000000000000001E-4</v>
      </c>
    </row>
    <row r="855" spans="1:14" x14ac:dyDescent="0.35">
      <c r="A855" s="1">
        <v>45657</v>
      </c>
      <c r="B855" t="s">
        <v>14</v>
      </c>
      <c r="C855" t="s">
        <v>15</v>
      </c>
      <c r="D855" t="s">
        <v>81</v>
      </c>
      <c r="E855">
        <v>1</v>
      </c>
      <c r="F855" t="s">
        <v>1257</v>
      </c>
      <c r="H855" t="s">
        <v>1258</v>
      </c>
      <c r="I855" t="str">
        <f>IF(ISBLANK(H855),"",INDEX(Sheet1!$F$2:$F$936,MATCH(H855,Sheet1!$C$2:$C$936,0)))</f>
        <v>Canada</v>
      </c>
      <c r="J855">
        <v>11640</v>
      </c>
      <c r="M855">
        <v>2526791.986</v>
      </c>
      <c r="N855">
        <v>4.0000000000000002E-4</v>
      </c>
    </row>
    <row r="856" spans="1:14" x14ac:dyDescent="0.35">
      <c r="A856" s="1">
        <v>45657</v>
      </c>
      <c r="B856" t="s">
        <v>14</v>
      </c>
      <c r="C856" t="s">
        <v>15</v>
      </c>
      <c r="D856" t="s">
        <v>81</v>
      </c>
      <c r="E856">
        <v>1</v>
      </c>
      <c r="F856" t="s">
        <v>1259</v>
      </c>
      <c r="H856">
        <v>4162791</v>
      </c>
      <c r="I856" t="str">
        <f>IF(ISBLANK(H856),"",INDEX(Sheet1!$F$2:$F$936,MATCH(H856,Sheet1!$C$2:$C$936,0)))</f>
        <v>France</v>
      </c>
      <c r="J856">
        <v>1406</v>
      </c>
      <c r="M856">
        <v>325980.9425</v>
      </c>
      <c r="N856">
        <v>0</v>
      </c>
    </row>
    <row r="857" spans="1:14" x14ac:dyDescent="0.35">
      <c r="A857" s="1">
        <v>45657</v>
      </c>
      <c r="B857" t="s">
        <v>14</v>
      </c>
      <c r="C857" t="s">
        <v>15</v>
      </c>
      <c r="D857" t="s">
        <v>81</v>
      </c>
      <c r="E857">
        <v>1</v>
      </c>
      <c r="F857" t="s">
        <v>1260</v>
      </c>
      <c r="H857">
        <v>2704407</v>
      </c>
      <c r="I857" t="str">
        <f>IF(ISBLANK(H857),"",INDEX(Sheet1!$F$2:$F$936,MATCH(H857,Sheet1!$C$2:$C$936,0)))</f>
        <v>United States</v>
      </c>
      <c r="J857">
        <v>59692</v>
      </c>
      <c r="M857">
        <v>16165115.76</v>
      </c>
      <c r="N857">
        <v>2.2000000000000001E-3</v>
      </c>
    </row>
    <row r="858" spans="1:14" x14ac:dyDescent="0.35">
      <c r="A858" s="1">
        <v>45657</v>
      </c>
      <c r="B858" t="s">
        <v>14</v>
      </c>
      <c r="C858" t="s">
        <v>15</v>
      </c>
      <c r="D858" t="s">
        <v>81</v>
      </c>
      <c r="E858">
        <v>1</v>
      </c>
      <c r="F858" t="s">
        <v>1261</v>
      </c>
      <c r="H858">
        <v>2270726</v>
      </c>
      <c r="I858" t="str">
        <f>IF(ISBLANK(H858),"",INDEX(Sheet1!$F$2:$F$936,MATCH(H858,Sheet1!$C$2:$C$936,0)))</f>
        <v>United States</v>
      </c>
      <c r="J858">
        <v>8761</v>
      </c>
      <c r="M858">
        <v>1576414.3529999999</v>
      </c>
      <c r="N858">
        <v>2.0000000000000001E-4</v>
      </c>
    </row>
    <row r="859" spans="1:14" x14ac:dyDescent="0.35">
      <c r="A859" s="1">
        <v>45657</v>
      </c>
      <c r="B859" t="s">
        <v>14</v>
      </c>
      <c r="C859" t="s">
        <v>15</v>
      </c>
      <c r="D859" t="s">
        <v>81</v>
      </c>
      <c r="E859">
        <v>1</v>
      </c>
      <c r="F859" t="s">
        <v>1262</v>
      </c>
      <c r="H859">
        <v>2886907</v>
      </c>
      <c r="I859" t="str">
        <f>IF(ISBLANK(H859),"",INDEX(Sheet1!$F$2:$F$936,MATCH(H859,Sheet1!$C$2:$C$936,0)))</f>
        <v>United States</v>
      </c>
      <c r="J859">
        <v>5486</v>
      </c>
      <c r="M859">
        <v>4608584.38</v>
      </c>
      <c r="N859">
        <v>5.9999999999999995E-4</v>
      </c>
    </row>
    <row r="860" spans="1:14" x14ac:dyDescent="0.35">
      <c r="A860" s="1">
        <v>45657</v>
      </c>
      <c r="B860" t="s">
        <v>14</v>
      </c>
      <c r="C860" t="s">
        <v>15</v>
      </c>
      <c r="D860" t="s">
        <v>81</v>
      </c>
      <c r="E860">
        <v>1</v>
      </c>
      <c r="F860" t="s">
        <v>1263</v>
      </c>
      <c r="H860" t="s">
        <v>1264</v>
      </c>
      <c r="I860" t="str">
        <f>IF(ISBLANK(H860),"",INDEX(Sheet1!$F$2:$F$936,MATCH(H860,Sheet1!$C$2:$C$936,0)))</f>
        <v>Brazil</v>
      </c>
      <c r="J860">
        <v>53665</v>
      </c>
      <c r="M860">
        <v>203013.1581</v>
      </c>
      <c r="N860">
        <v>0</v>
      </c>
    </row>
    <row r="861" spans="1:14" x14ac:dyDescent="0.35">
      <c r="A861" s="1">
        <v>45657</v>
      </c>
      <c r="B861" t="s">
        <v>14</v>
      </c>
      <c r="C861" t="s">
        <v>15</v>
      </c>
      <c r="D861" t="s">
        <v>81</v>
      </c>
      <c r="E861">
        <v>1</v>
      </c>
      <c r="F861" t="s">
        <v>1265</v>
      </c>
      <c r="H861">
        <v>6139340</v>
      </c>
      <c r="I861" t="str">
        <f>IF(ISBLANK(H861),"",INDEX(Sheet1!$F$2:$F$936,MATCH(H861,Sheet1!$C$2:$C$936,0)))</f>
        <v>India</v>
      </c>
      <c r="J861">
        <v>74186</v>
      </c>
      <c r="M861">
        <v>4552138.6789999995</v>
      </c>
      <c r="N861">
        <v>5.9999999999999995E-4</v>
      </c>
    </row>
    <row r="862" spans="1:14" x14ac:dyDescent="0.35">
      <c r="A862" s="1">
        <v>45657</v>
      </c>
      <c r="B862" t="s">
        <v>14</v>
      </c>
      <c r="C862" t="s">
        <v>15</v>
      </c>
      <c r="D862" t="s">
        <v>81</v>
      </c>
      <c r="E862">
        <v>1</v>
      </c>
      <c r="F862" t="s">
        <v>1266</v>
      </c>
      <c r="H862">
        <v>2989301</v>
      </c>
      <c r="I862" t="str">
        <f>IF(ISBLANK(H862),"",INDEX(Sheet1!$F$2:$F$936,MATCH(H862,Sheet1!$C$2:$C$936,0)))</f>
        <v>United States</v>
      </c>
      <c r="J862">
        <v>28446</v>
      </c>
      <c r="M862">
        <v>5549147.3190000001</v>
      </c>
      <c r="N862">
        <v>8.0000000000000004E-4</v>
      </c>
    </row>
    <row r="863" spans="1:14" x14ac:dyDescent="0.35">
      <c r="A863" s="1">
        <v>45657</v>
      </c>
      <c r="B863" t="s">
        <v>14</v>
      </c>
      <c r="C863" t="s">
        <v>15</v>
      </c>
      <c r="D863" t="s">
        <v>81</v>
      </c>
      <c r="E863">
        <v>1</v>
      </c>
      <c r="F863" t="s">
        <v>1267</v>
      </c>
      <c r="H863" t="s">
        <v>1268</v>
      </c>
      <c r="I863" t="str">
        <f>IF(ISBLANK(H863),"",INDEX(Sheet1!$F$2:$F$936,MATCH(H863,Sheet1!$C$2:$C$936,0)))</f>
        <v>United States</v>
      </c>
      <c r="J863">
        <v>15368</v>
      </c>
      <c r="M863">
        <v>5478746.9309999999</v>
      </c>
      <c r="N863">
        <v>8.0000000000000004E-4</v>
      </c>
    </row>
    <row r="864" spans="1:14" x14ac:dyDescent="0.35">
      <c r="A864" s="1">
        <v>45657</v>
      </c>
      <c r="B864" t="s">
        <v>14</v>
      </c>
      <c r="C864" t="s">
        <v>15</v>
      </c>
      <c r="D864" t="s">
        <v>81</v>
      </c>
      <c r="E864">
        <v>1</v>
      </c>
      <c r="F864" t="s">
        <v>1269</v>
      </c>
      <c r="H864">
        <v>6895675</v>
      </c>
      <c r="I864" t="str">
        <f>IF(ISBLANK(H864),"",INDEX(Sheet1!$F$2:$F$936,MATCH(H864,Sheet1!$C$2:$C$936,0)))</f>
        <v>Japan</v>
      </c>
      <c r="J864">
        <v>6125</v>
      </c>
      <c r="M864">
        <v>1521979.3659999999</v>
      </c>
      <c r="N864">
        <v>2.0000000000000001E-4</v>
      </c>
    </row>
    <row r="865" spans="1:14" x14ac:dyDescent="0.35">
      <c r="A865" s="1">
        <v>45657</v>
      </c>
      <c r="B865" t="s">
        <v>14</v>
      </c>
      <c r="C865" t="s">
        <v>15</v>
      </c>
      <c r="D865" t="s">
        <v>81</v>
      </c>
      <c r="E865">
        <v>1</v>
      </c>
      <c r="F865" t="s">
        <v>1270</v>
      </c>
      <c r="H865" t="s">
        <v>1271</v>
      </c>
      <c r="I865" t="str">
        <f>IF(ISBLANK(H865),"",INDEX(Sheet1!$F$2:$F$936,MATCH(H865,Sheet1!$C$2:$C$936,0)))</f>
        <v>France</v>
      </c>
      <c r="J865">
        <v>25709</v>
      </c>
      <c r="M865">
        <v>2293887.8629999999</v>
      </c>
      <c r="N865">
        <v>2.9999999999999997E-4</v>
      </c>
    </row>
    <row r="866" spans="1:14" x14ac:dyDescent="0.35">
      <c r="A866" s="1">
        <v>45657</v>
      </c>
      <c r="B866" t="s">
        <v>14</v>
      </c>
      <c r="C866" t="s">
        <v>15</v>
      </c>
      <c r="D866" t="s">
        <v>81</v>
      </c>
      <c r="E866">
        <v>1</v>
      </c>
      <c r="F866" t="s">
        <v>1272</v>
      </c>
      <c r="H866">
        <v>6900643</v>
      </c>
      <c r="I866" t="str">
        <f>IF(ISBLANK(H866),"",INDEX(Sheet1!$F$2:$F$936,MATCH(H866,Sheet1!$C$2:$C$936,0)))</f>
        <v>Japan</v>
      </c>
      <c r="J866">
        <v>75131</v>
      </c>
      <c r="M866">
        <v>2428285.1430000002</v>
      </c>
      <c r="N866">
        <v>2.9999999999999997E-4</v>
      </c>
    </row>
    <row r="867" spans="1:14" x14ac:dyDescent="0.35">
      <c r="A867" s="1">
        <v>45657</v>
      </c>
      <c r="B867" t="s">
        <v>14</v>
      </c>
      <c r="C867" t="s">
        <v>15</v>
      </c>
      <c r="D867" t="s">
        <v>81</v>
      </c>
      <c r="E867">
        <v>1</v>
      </c>
      <c r="F867" t="s">
        <v>1273</v>
      </c>
      <c r="H867" t="s">
        <v>1274</v>
      </c>
      <c r="I867" t="str">
        <f>IF(ISBLANK(H867),"",INDEX(Sheet1!$F$2:$F$936,MATCH(H867,Sheet1!$C$2:$C$936,0)))</f>
        <v>United States</v>
      </c>
      <c r="J867">
        <v>25969</v>
      </c>
      <c r="M867">
        <v>4927393.6890000002</v>
      </c>
      <c r="N867">
        <v>6.9999999999999891E-4</v>
      </c>
    </row>
    <row r="868" spans="1:14" x14ac:dyDescent="0.35">
      <c r="A868" s="1">
        <v>45657</v>
      </c>
      <c r="B868" t="s">
        <v>14</v>
      </c>
      <c r="C868" t="s">
        <v>15</v>
      </c>
      <c r="D868" t="s">
        <v>81</v>
      </c>
      <c r="E868">
        <v>1</v>
      </c>
      <c r="F868" t="s">
        <v>1275</v>
      </c>
      <c r="H868" t="s">
        <v>1276</v>
      </c>
      <c r="I868" t="str">
        <f>IF(ISBLANK(H868),"",INDEX(Sheet1!$F$2:$F$936,MATCH(H868,Sheet1!$C$2:$C$936,0)))</f>
        <v>Ireland</v>
      </c>
      <c r="J868">
        <v>7859</v>
      </c>
      <c r="M868">
        <v>4690627.5930000003</v>
      </c>
      <c r="N868">
        <v>5.9999999999999995E-4</v>
      </c>
    </row>
    <row r="869" spans="1:14" x14ac:dyDescent="0.35">
      <c r="A869" s="1">
        <v>45657</v>
      </c>
      <c r="B869" t="s">
        <v>14</v>
      </c>
      <c r="C869" t="s">
        <v>15</v>
      </c>
      <c r="D869" t="s">
        <v>81</v>
      </c>
      <c r="E869">
        <v>1</v>
      </c>
      <c r="F869" t="s">
        <v>1277</v>
      </c>
      <c r="H869" t="s">
        <v>1278</v>
      </c>
      <c r="I869" t="str">
        <f>IF(ISBLANK(H869),"",INDEX(Sheet1!$F$2:$F$936,MATCH(H869,Sheet1!$C$2:$C$936,0)))</f>
        <v>Australia</v>
      </c>
      <c r="J869">
        <v>864021</v>
      </c>
      <c r="M869">
        <v>9789355.7520000003</v>
      </c>
      <c r="N869">
        <v>1.3999999999999898E-3</v>
      </c>
    </row>
    <row r="870" spans="1:14" x14ac:dyDescent="0.35">
      <c r="A870" s="1">
        <v>45657</v>
      </c>
      <c r="B870" t="s">
        <v>14</v>
      </c>
      <c r="C870" t="s">
        <v>15</v>
      </c>
      <c r="D870" t="s">
        <v>81</v>
      </c>
      <c r="E870">
        <v>1</v>
      </c>
      <c r="F870" t="s">
        <v>1279</v>
      </c>
      <c r="H870" t="s">
        <v>1280</v>
      </c>
      <c r="I870" t="str">
        <f>IF(ISBLANK(H870),"",INDEX(Sheet1!$F$2:$F$936,MATCH(H870,Sheet1!$C$2:$C$936,0)))</f>
        <v>China</v>
      </c>
      <c r="J870">
        <v>27656</v>
      </c>
      <c r="M870">
        <v>3066829.108</v>
      </c>
      <c r="N870">
        <v>4.0000000000000002E-4</v>
      </c>
    </row>
    <row r="871" spans="1:14" x14ac:dyDescent="0.35">
      <c r="A871" s="1">
        <v>45657</v>
      </c>
      <c r="B871" t="s">
        <v>14</v>
      </c>
      <c r="C871" t="s">
        <v>15</v>
      </c>
      <c r="D871" t="s">
        <v>81</v>
      </c>
      <c r="E871">
        <v>1</v>
      </c>
      <c r="F871" t="s">
        <v>1281</v>
      </c>
      <c r="H871" t="s">
        <v>1282</v>
      </c>
      <c r="I871" t="str">
        <f>IF(ISBLANK(H871),"",INDEX(Sheet1!$F$2:$F$936,MATCH(H871,Sheet1!$C$2:$C$936,0)))</f>
        <v>HKD</v>
      </c>
      <c r="J871">
        <v>20066</v>
      </c>
      <c r="M871">
        <v>2250860.9109999998</v>
      </c>
      <c r="N871">
        <v>2.9999999999999997E-4</v>
      </c>
    </row>
    <row r="872" spans="1:14" x14ac:dyDescent="0.35">
      <c r="A872" s="1">
        <v>45657</v>
      </c>
      <c r="B872" t="s">
        <v>14</v>
      </c>
      <c r="C872" t="s">
        <v>15</v>
      </c>
      <c r="D872" t="s">
        <v>81</v>
      </c>
      <c r="E872">
        <v>1</v>
      </c>
      <c r="F872" t="s">
        <v>1283</v>
      </c>
      <c r="H872" t="s">
        <v>1284</v>
      </c>
      <c r="I872" t="str">
        <f>IF(ISBLANK(H872),"",INDEX(Sheet1!$F$2:$F$936,MATCH(H872,Sheet1!$C$2:$C$936,0)))</f>
        <v>AUD</v>
      </c>
      <c r="J872">
        <v>28524</v>
      </c>
      <c r="M872">
        <v>180841.4094</v>
      </c>
      <c r="N872">
        <v>0</v>
      </c>
    </row>
    <row r="873" spans="1:14" x14ac:dyDescent="0.35">
      <c r="A873" s="1">
        <v>45657</v>
      </c>
      <c r="B873" t="s">
        <v>14</v>
      </c>
      <c r="C873" t="s">
        <v>15</v>
      </c>
      <c r="D873" t="s">
        <v>81</v>
      </c>
      <c r="E873">
        <v>1</v>
      </c>
      <c r="F873" t="s">
        <v>1285</v>
      </c>
      <c r="H873" t="s">
        <v>1286</v>
      </c>
      <c r="I873" t="str">
        <f>IF(ISBLANK(H873),"",INDEX(Sheet1!$F$2:$F$936,MATCH(H873,Sheet1!$C$2:$C$936,0)))</f>
        <v>TR</v>
      </c>
      <c r="J873">
        <v>74430</v>
      </c>
      <c r="M873">
        <v>315317.42950000003</v>
      </c>
      <c r="N873">
        <v>0</v>
      </c>
    </row>
    <row r="874" spans="1:14" x14ac:dyDescent="0.35">
      <c r="A874" s="1">
        <v>45657</v>
      </c>
      <c r="B874" t="s">
        <v>14</v>
      </c>
      <c r="C874" t="s">
        <v>15</v>
      </c>
      <c r="D874" t="s">
        <v>81</v>
      </c>
      <c r="E874">
        <v>1</v>
      </c>
      <c r="F874" t="s">
        <v>1287</v>
      </c>
      <c r="H874" t="s">
        <v>1288</v>
      </c>
      <c r="I874" t="str">
        <f>IF(ISBLANK(H874),"",INDEX(Sheet1!$F$2:$F$936,MATCH(H874,Sheet1!$C$2:$C$936,0)))</f>
        <v>United States</v>
      </c>
      <c r="J874">
        <v>12503</v>
      </c>
      <c r="M874">
        <v>2183911.0189999999</v>
      </c>
      <c r="N874">
        <v>2.9999999999999997E-4</v>
      </c>
    </row>
    <row r="875" spans="1:14" x14ac:dyDescent="0.35">
      <c r="A875" s="1">
        <v>45657</v>
      </c>
      <c r="B875" t="s">
        <v>14</v>
      </c>
      <c r="C875" t="s">
        <v>15</v>
      </c>
      <c r="D875" t="s">
        <v>81</v>
      </c>
      <c r="E875">
        <v>1</v>
      </c>
      <c r="F875" t="s">
        <v>1289</v>
      </c>
      <c r="H875" t="s">
        <v>1290</v>
      </c>
      <c r="I875" t="str">
        <f>IF(ISBLANK(H875),"",INDEX(Sheet1!$F$2:$F$936,MATCH(H875,Sheet1!$C$2:$C$936,0)))</f>
        <v>AUD</v>
      </c>
      <c r="J875">
        <v>398006</v>
      </c>
      <c r="M875">
        <v>320394.51679999998</v>
      </c>
      <c r="N875">
        <v>0</v>
      </c>
    </row>
    <row r="876" spans="1:14" x14ac:dyDescent="0.35">
      <c r="A876" s="1">
        <v>45657</v>
      </c>
      <c r="B876" t="s">
        <v>14</v>
      </c>
      <c r="C876" t="s">
        <v>15</v>
      </c>
      <c r="D876" t="s">
        <v>81</v>
      </c>
      <c r="E876">
        <v>1</v>
      </c>
      <c r="F876" t="s">
        <v>1291</v>
      </c>
      <c r="H876" t="s">
        <v>1292</v>
      </c>
      <c r="I876" t="str">
        <f>IF(ISBLANK(H876),"",INDEX(Sheet1!$F$2:$F$936,MATCH(H876,Sheet1!$C$2:$C$936,0)))</f>
        <v>United States</v>
      </c>
      <c r="J876">
        <v>55607</v>
      </c>
      <c r="M876">
        <v>5418363.1390000004</v>
      </c>
      <c r="N876">
        <v>8.0000000000000004E-4</v>
      </c>
    </row>
    <row r="877" spans="1:14" x14ac:dyDescent="0.35">
      <c r="A877" s="1">
        <v>45657</v>
      </c>
      <c r="B877" t="s">
        <v>14</v>
      </c>
      <c r="C877" t="s">
        <v>15</v>
      </c>
      <c r="D877" t="s">
        <v>81</v>
      </c>
      <c r="E877">
        <v>1</v>
      </c>
      <c r="F877" t="s">
        <v>1293</v>
      </c>
      <c r="H877" t="s">
        <v>1294</v>
      </c>
      <c r="I877" t="str">
        <f>IF(ISBLANK(H877),"",INDEX(Sheet1!$F$2:$F$936,MATCH(H877,Sheet1!$C$2:$C$936,0)))</f>
        <v>United States</v>
      </c>
      <c r="J877">
        <v>25711</v>
      </c>
      <c r="M877">
        <v>2662274.588</v>
      </c>
      <c r="N877">
        <v>4.0000000000000002E-4</v>
      </c>
    </row>
    <row r="878" spans="1:14" x14ac:dyDescent="0.35">
      <c r="A878" s="1">
        <v>45657</v>
      </c>
      <c r="B878" t="s">
        <v>14</v>
      </c>
      <c r="C878" t="s">
        <v>15</v>
      </c>
      <c r="D878" t="s">
        <v>81</v>
      </c>
      <c r="E878">
        <v>1</v>
      </c>
      <c r="F878" t="s">
        <v>1295</v>
      </c>
      <c r="H878" t="s">
        <v>1296</v>
      </c>
      <c r="I878" t="str">
        <f>IF(ISBLANK(H878),"",INDEX(Sheet1!$F$2:$F$936,MATCH(H878,Sheet1!$C$2:$C$936,0)))</f>
        <v>BRL</v>
      </c>
      <c r="J878">
        <v>113396</v>
      </c>
      <c r="M878">
        <v>468997.54670000001</v>
      </c>
      <c r="N878">
        <v>1E-4</v>
      </c>
    </row>
    <row r="879" spans="1:14" x14ac:dyDescent="0.35">
      <c r="A879" s="1">
        <v>45657</v>
      </c>
      <c r="B879" t="s">
        <v>14</v>
      </c>
      <c r="C879" t="s">
        <v>15</v>
      </c>
      <c r="D879" t="s">
        <v>81</v>
      </c>
      <c r="E879">
        <v>1</v>
      </c>
      <c r="F879" t="s">
        <v>1297</v>
      </c>
      <c r="H879" t="s">
        <v>1298</v>
      </c>
      <c r="I879" t="str">
        <f>IF(ISBLANK(H879),"",INDEX(Sheet1!$F$2:$F$936,MATCH(H879,Sheet1!$C$2:$C$936,0)))</f>
        <v>Italy</v>
      </c>
      <c r="J879">
        <v>59077</v>
      </c>
      <c r="M879">
        <v>3805931.5729999999</v>
      </c>
      <c r="N879">
        <v>5.0000000000000001E-4</v>
      </c>
    </row>
    <row r="880" spans="1:14" x14ac:dyDescent="0.35">
      <c r="A880" s="1">
        <v>45657</v>
      </c>
      <c r="B880" t="s">
        <v>14</v>
      </c>
      <c r="C880" t="s">
        <v>15</v>
      </c>
      <c r="D880" t="s">
        <v>81</v>
      </c>
      <c r="E880">
        <v>1</v>
      </c>
      <c r="F880" t="s">
        <v>1299</v>
      </c>
      <c r="H880" t="s">
        <v>1300</v>
      </c>
      <c r="I880" t="str">
        <f>IF(ISBLANK(H880),"",INDEX(Sheet1!$F$2:$F$936,MATCH(H880,Sheet1!$C$2:$C$936,0)))</f>
        <v>United Kingdom</v>
      </c>
      <c r="J880">
        <v>136743</v>
      </c>
      <c r="M880">
        <v>12576959.779999999</v>
      </c>
      <c r="N880">
        <v>1.6999999999999901E-3</v>
      </c>
    </row>
    <row r="881" spans="1:14" x14ac:dyDescent="0.35">
      <c r="A881" s="1">
        <v>45657</v>
      </c>
      <c r="B881" t="s">
        <v>14</v>
      </c>
      <c r="C881" t="s">
        <v>15</v>
      </c>
      <c r="D881" t="s">
        <v>81</v>
      </c>
      <c r="E881">
        <v>1</v>
      </c>
      <c r="F881" t="s">
        <v>1301</v>
      </c>
      <c r="H881">
        <v>6700393</v>
      </c>
      <c r="I881" t="str">
        <f>IF(ISBLANK(H881),"",INDEX(Sheet1!$F$2:$F$936,MATCH(H881,Sheet1!$C$2:$C$936,0)))</f>
        <v>TWD</v>
      </c>
      <c r="J881">
        <v>334238</v>
      </c>
      <c r="M881">
        <v>1332109.0190000001</v>
      </c>
      <c r="N881">
        <v>2.0000000000000001E-4</v>
      </c>
    </row>
    <row r="882" spans="1:14" x14ac:dyDescent="0.35">
      <c r="A882" s="1">
        <v>45657</v>
      </c>
      <c r="B882" t="s">
        <v>14</v>
      </c>
      <c r="C882" t="s">
        <v>15</v>
      </c>
      <c r="D882" t="s">
        <v>81</v>
      </c>
      <c r="E882">
        <v>1</v>
      </c>
      <c r="F882" t="s">
        <v>1302</v>
      </c>
      <c r="H882" t="s">
        <v>1303</v>
      </c>
      <c r="I882" t="str">
        <f>IF(ISBLANK(H882),"",INDEX(Sheet1!$F$2:$F$936,MATCH(H882,Sheet1!$C$2:$C$936,0)))</f>
        <v>United States</v>
      </c>
      <c r="J882">
        <v>32100</v>
      </c>
      <c r="M882">
        <v>5033130.0760000004</v>
      </c>
      <c r="N882">
        <v>6.9999999999999891E-4</v>
      </c>
    </row>
    <row r="883" spans="1:14" x14ac:dyDescent="0.35">
      <c r="A883" s="1">
        <v>45657</v>
      </c>
      <c r="B883" t="s">
        <v>14</v>
      </c>
      <c r="C883" t="s">
        <v>15</v>
      </c>
      <c r="D883" t="s">
        <v>81</v>
      </c>
      <c r="E883">
        <v>1</v>
      </c>
      <c r="F883" t="s">
        <v>1304</v>
      </c>
      <c r="H883">
        <v>6916781</v>
      </c>
      <c r="I883" t="str">
        <f>IF(ISBLANK(H883),"",INDEX(Sheet1!$F$2:$F$936,MATCH(H883,Sheet1!$C$2:$C$936,0)))</f>
        <v>Singapore</v>
      </c>
      <c r="J883">
        <v>114277</v>
      </c>
      <c r="M883">
        <v>4913967.6380000003</v>
      </c>
      <c r="N883">
        <v>6.9999999999999891E-4</v>
      </c>
    </row>
    <row r="884" spans="1:14" x14ac:dyDescent="0.35">
      <c r="A884" s="1">
        <v>45657</v>
      </c>
      <c r="B884" t="s">
        <v>14</v>
      </c>
      <c r="C884" t="s">
        <v>15</v>
      </c>
      <c r="D884" t="s">
        <v>81</v>
      </c>
      <c r="E884">
        <v>1</v>
      </c>
      <c r="F884" t="s">
        <v>1305</v>
      </c>
      <c r="H884">
        <v>2134781</v>
      </c>
      <c r="I884" t="str">
        <f>IF(ISBLANK(H884),"",INDEX(Sheet1!$F$2:$F$936,MATCH(H884,Sheet1!$C$2:$C$936,0)))</f>
        <v>United States</v>
      </c>
      <c r="J884">
        <v>3152</v>
      </c>
      <c r="M884">
        <v>3583495.1039999998</v>
      </c>
      <c r="N884">
        <v>5.0000000000000001E-4</v>
      </c>
    </row>
    <row r="885" spans="1:14" x14ac:dyDescent="0.35">
      <c r="A885" s="1">
        <v>45657</v>
      </c>
      <c r="B885" t="s">
        <v>14</v>
      </c>
      <c r="C885" t="s">
        <v>15</v>
      </c>
      <c r="D885" t="s">
        <v>81</v>
      </c>
      <c r="E885">
        <v>1</v>
      </c>
      <c r="F885" t="s">
        <v>1306</v>
      </c>
      <c r="H885">
        <v>2430412</v>
      </c>
      <c r="I885" t="str">
        <f>IF(ISBLANK(H885),"",INDEX(Sheet1!$F$2:$F$936,MATCH(H885,Sheet1!$C$2:$C$936,0)))</f>
        <v>United States</v>
      </c>
      <c r="J885">
        <v>2779</v>
      </c>
      <c r="M885">
        <v>1581973.1259999999</v>
      </c>
      <c r="N885">
        <v>2.0000000000000001E-4</v>
      </c>
    </row>
    <row r="886" spans="1:14" x14ac:dyDescent="0.35">
      <c r="A886" s="1">
        <v>45657</v>
      </c>
      <c r="B886" t="s">
        <v>14</v>
      </c>
      <c r="C886" t="s">
        <v>15</v>
      </c>
      <c r="D886" t="s">
        <v>81</v>
      </c>
      <c r="E886">
        <v>1</v>
      </c>
      <c r="F886" t="s">
        <v>1307</v>
      </c>
      <c r="H886">
        <v>6230845</v>
      </c>
      <c r="I886" t="str">
        <f>IF(ISBLANK(H886),"",INDEX(Sheet1!$F$2:$F$936,MATCH(H886,Sheet1!$C$2:$C$936,0)))</f>
        <v>IDR</v>
      </c>
      <c r="J886">
        <v>505265</v>
      </c>
      <c r="M886">
        <v>1299260.58</v>
      </c>
      <c r="N886">
        <v>2.0000000000000001E-4</v>
      </c>
    </row>
    <row r="887" spans="1:14" x14ac:dyDescent="0.35">
      <c r="A887" s="1">
        <v>45657</v>
      </c>
      <c r="B887" t="s">
        <v>14</v>
      </c>
      <c r="C887" t="s">
        <v>15</v>
      </c>
      <c r="D887" t="s">
        <v>81</v>
      </c>
      <c r="E887">
        <v>1</v>
      </c>
      <c r="F887" t="s">
        <v>1308</v>
      </c>
      <c r="H887">
        <v>2917766</v>
      </c>
      <c r="I887" t="str">
        <f>IF(ISBLANK(H887),"",INDEX(Sheet1!$F$2:$F$936,MATCH(H887,Sheet1!$C$2:$C$936,0)))</f>
        <v>United States</v>
      </c>
      <c r="J887">
        <v>22278</v>
      </c>
      <c r="M887">
        <v>18222222.359999999</v>
      </c>
      <c r="N887">
        <v>2.5000000000000001E-3</v>
      </c>
    </row>
    <row r="888" spans="1:14" x14ac:dyDescent="0.35">
      <c r="A888" s="1">
        <v>45657</v>
      </c>
      <c r="B888" t="s">
        <v>14</v>
      </c>
      <c r="C888" t="s">
        <v>15</v>
      </c>
      <c r="D888" t="s">
        <v>81</v>
      </c>
      <c r="E888">
        <v>1</v>
      </c>
      <c r="F888" t="s">
        <v>1309</v>
      </c>
      <c r="H888" t="s">
        <v>1310</v>
      </c>
      <c r="I888" t="str">
        <f>IF(ISBLANK(H888),"",INDEX(Sheet1!$F$2:$F$936,MATCH(H888,Sheet1!$C$2:$C$936,0)))</f>
        <v>AUD</v>
      </c>
      <c r="J888">
        <v>148447</v>
      </c>
      <c r="M888">
        <v>1187572.0430000001</v>
      </c>
      <c r="N888">
        <v>2.0000000000000001E-4</v>
      </c>
    </row>
    <row r="889" spans="1:14" x14ac:dyDescent="0.35">
      <c r="A889" s="1">
        <v>45657</v>
      </c>
      <c r="B889" t="s">
        <v>14</v>
      </c>
      <c r="C889" t="s">
        <v>15</v>
      </c>
      <c r="D889" t="s">
        <v>81</v>
      </c>
      <c r="E889">
        <v>1</v>
      </c>
      <c r="F889" t="s">
        <v>1311</v>
      </c>
      <c r="H889" t="s">
        <v>1312</v>
      </c>
      <c r="I889" t="str">
        <f>IF(ISBLANK(H889),"",INDEX(Sheet1!$F$2:$F$936,MATCH(H889,Sheet1!$C$2:$C$936,0)))</f>
        <v>INR</v>
      </c>
      <c r="J889">
        <v>3860</v>
      </c>
      <c r="M889">
        <v>16383.449199999999</v>
      </c>
      <c r="N889">
        <v>0</v>
      </c>
    </row>
    <row r="890" spans="1:14" x14ac:dyDescent="0.35">
      <c r="A890" s="1">
        <v>45657</v>
      </c>
      <c r="B890" t="s">
        <v>14</v>
      </c>
      <c r="C890" t="s">
        <v>15</v>
      </c>
      <c r="D890" t="s">
        <v>81</v>
      </c>
      <c r="E890">
        <v>1</v>
      </c>
      <c r="F890" t="s">
        <v>1313</v>
      </c>
      <c r="H890">
        <v>2196286</v>
      </c>
      <c r="I890" t="str">
        <f>IF(ISBLANK(H890),"",INDEX(Sheet1!$F$2:$F$936,MATCH(H890,Sheet1!$C$2:$C$936,0)))</f>
        <v>Brazil</v>
      </c>
      <c r="J890">
        <v>53487</v>
      </c>
      <c r="M890">
        <v>762655.87060000002</v>
      </c>
      <c r="N890">
        <v>1E-4</v>
      </c>
    </row>
    <row r="891" spans="1:14" x14ac:dyDescent="0.35">
      <c r="A891" s="1">
        <v>45657</v>
      </c>
      <c r="B891" t="s">
        <v>14</v>
      </c>
      <c r="C891" t="s">
        <v>15</v>
      </c>
      <c r="D891" t="s">
        <v>81</v>
      </c>
      <c r="E891">
        <v>1</v>
      </c>
      <c r="F891" t="s">
        <v>1314</v>
      </c>
      <c r="H891" t="s">
        <v>1315</v>
      </c>
      <c r="I891" t="str">
        <f>IF(ISBLANK(H891),"",INDEX(Sheet1!$F$2:$F$936,MATCH(H891,Sheet1!$C$2:$C$936,0)))</f>
        <v>USD</v>
      </c>
      <c r="J891">
        <v>17873</v>
      </c>
      <c r="M891">
        <v>1656385.2490000001</v>
      </c>
      <c r="N891">
        <v>2.0000000000000001E-4</v>
      </c>
    </row>
    <row r="892" spans="1:14" x14ac:dyDescent="0.35">
      <c r="A892" s="1">
        <v>45657</v>
      </c>
      <c r="B892" t="s">
        <v>14</v>
      </c>
      <c r="C892" t="s">
        <v>15</v>
      </c>
      <c r="D892" t="s">
        <v>81</v>
      </c>
      <c r="E892">
        <v>1</v>
      </c>
      <c r="F892" t="s">
        <v>1316</v>
      </c>
      <c r="H892" t="s">
        <v>1317</v>
      </c>
      <c r="I892" t="str">
        <f>IF(ISBLANK(H892),"",INDEX(Sheet1!$F$2:$F$936,MATCH(H892,Sheet1!$C$2:$C$936,0)))</f>
        <v>United States</v>
      </c>
      <c r="J892">
        <v>9478</v>
      </c>
      <c r="M892">
        <v>3217948.8119999999</v>
      </c>
      <c r="N892">
        <v>4.0000000000000002E-4</v>
      </c>
    </row>
    <row r="893" spans="1:14" x14ac:dyDescent="0.35">
      <c r="A893" s="1">
        <v>45657</v>
      </c>
      <c r="B893" t="s">
        <v>14</v>
      </c>
      <c r="C893" t="s">
        <v>15</v>
      </c>
      <c r="D893" t="s">
        <v>81</v>
      </c>
      <c r="E893">
        <v>1</v>
      </c>
      <c r="F893" t="s">
        <v>1318</v>
      </c>
      <c r="H893" t="s">
        <v>1319</v>
      </c>
      <c r="I893" t="str">
        <f>IF(ISBLANK(H893),"",INDEX(Sheet1!$F$2:$F$936,MATCH(H893,Sheet1!$C$2:$C$936,0)))</f>
        <v>AUD</v>
      </c>
      <c r="J893">
        <v>1071623</v>
      </c>
      <c r="M893">
        <v>3857844.4909999999</v>
      </c>
      <c r="N893">
        <v>5.0000000000000001E-4</v>
      </c>
    </row>
    <row r="894" spans="1:14" x14ac:dyDescent="0.35">
      <c r="A894" s="1">
        <v>45657</v>
      </c>
      <c r="B894" t="s">
        <v>14</v>
      </c>
      <c r="C894" t="s">
        <v>15</v>
      </c>
      <c r="D894" t="s">
        <v>81</v>
      </c>
      <c r="E894">
        <v>1</v>
      </c>
      <c r="F894" t="s">
        <v>1320</v>
      </c>
      <c r="H894">
        <v>2090571</v>
      </c>
      <c r="I894" t="str">
        <f>IF(ISBLANK(H894),"",INDEX(Sheet1!$F$2:$F$936,MATCH(H894,Sheet1!$C$2:$C$936,0)))</f>
        <v>United States</v>
      </c>
      <c r="J894">
        <v>98082</v>
      </c>
      <c r="M894">
        <v>6339701.5659999996</v>
      </c>
      <c r="N894">
        <v>8.9999999999999998E-4</v>
      </c>
    </row>
    <row r="895" spans="1:14" x14ac:dyDescent="0.35">
      <c r="A895" s="1">
        <v>45657</v>
      </c>
      <c r="B895" t="s">
        <v>14</v>
      </c>
      <c r="C895" t="s">
        <v>15</v>
      </c>
      <c r="D895" t="s">
        <v>81</v>
      </c>
      <c r="E895">
        <v>1</v>
      </c>
      <c r="F895" t="s">
        <v>1321</v>
      </c>
      <c r="H895" t="s">
        <v>1322</v>
      </c>
      <c r="I895" t="str">
        <f>IF(ISBLANK(H895),"",INDEX(Sheet1!$F$2:$F$936,MATCH(H895,Sheet1!$C$2:$C$936,0)))</f>
        <v>United States</v>
      </c>
      <c r="J895">
        <v>6463</v>
      </c>
      <c r="M895">
        <v>1186351.554</v>
      </c>
      <c r="N895">
        <v>2.0000000000000001E-4</v>
      </c>
    </row>
    <row r="896" spans="1:14" x14ac:dyDescent="0.35">
      <c r="A896" s="1">
        <v>45657</v>
      </c>
      <c r="B896" t="s">
        <v>14</v>
      </c>
      <c r="C896" t="s">
        <v>15</v>
      </c>
      <c r="D896" t="s">
        <v>81</v>
      </c>
      <c r="E896">
        <v>1</v>
      </c>
      <c r="F896" t="s">
        <v>1323</v>
      </c>
      <c r="H896" t="s">
        <v>1324</v>
      </c>
      <c r="I896" t="str">
        <f>IF(ISBLANK(H896),"",INDEX(Sheet1!$F$2:$F$936,MATCH(H896,Sheet1!$C$2:$C$936,0)))</f>
        <v>United States</v>
      </c>
      <c r="J896">
        <v>144616</v>
      </c>
      <c r="M896">
        <v>2907967.8960000002</v>
      </c>
      <c r="N896">
        <v>4.0000000000000002E-4</v>
      </c>
    </row>
    <row r="897" spans="1:14" x14ac:dyDescent="0.35">
      <c r="A897" s="1">
        <v>45657</v>
      </c>
      <c r="B897" t="s">
        <v>14</v>
      </c>
      <c r="C897" t="s">
        <v>15</v>
      </c>
      <c r="D897" t="s">
        <v>81</v>
      </c>
      <c r="E897">
        <v>1</v>
      </c>
      <c r="F897" t="s">
        <v>1325</v>
      </c>
      <c r="H897" t="s">
        <v>1326</v>
      </c>
      <c r="I897" t="str">
        <f>IF(ISBLANK(H897),"",INDEX(Sheet1!$F$2:$F$936,MATCH(H897,Sheet1!$C$2:$C$936,0)))</f>
        <v>Brazil</v>
      </c>
      <c r="J897">
        <v>218800</v>
      </c>
      <c r="M897">
        <v>1020492.327</v>
      </c>
      <c r="N897">
        <v>1E-4</v>
      </c>
    </row>
    <row r="898" spans="1:14" x14ac:dyDescent="0.35">
      <c r="A898" s="1">
        <v>45657</v>
      </c>
      <c r="B898" t="s">
        <v>14</v>
      </c>
      <c r="C898" t="s">
        <v>15</v>
      </c>
      <c r="D898" t="s">
        <v>81</v>
      </c>
      <c r="E898">
        <v>1</v>
      </c>
      <c r="F898" t="s">
        <v>1327</v>
      </c>
      <c r="H898" t="s">
        <v>1328</v>
      </c>
      <c r="I898" t="str">
        <f>IF(ISBLANK(H898),"",INDEX(Sheet1!$F$2:$F$936,MATCH(H898,Sheet1!$C$2:$C$936,0)))</f>
        <v>United States</v>
      </c>
      <c r="J898">
        <v>22408</v>
      </c>
      <c r="M898">
        <v>11447537.279999999</v>
      </c>
      <c r="N898">
        <v>1.6000000000000001E-3</v>
      </c>
    </row>
    <row r="899" spans="1:14" x14ac:dyDescent="0.35">
      <c r="A899" s="1">
        <v>45657</v>
      </c>
      <c r="B899" t="s">
        <v>14</v>
      </c>
      <c r="C899" t="s">
        <v>15</v>
      </c>
      <c r="D899" t="s">
        <v>81</v>
      </c>
      <c r="E899">
        <v>1</v>
      </c>
      <c r="F899" t="s">
        <v>1329</v>
      </c>
      <c r="H899" t="s">
        <v>1330</v>
      </c>
      <c r="I899" t="str">
        <f>IF(ISBLANK(H899),"",INDEX(Sheet1!$F$2:$F$936,MATCH(H899,Sheet1!$C$2:$C$936,0)))</f>
        <v>Australia</v>
      </c>
      <c r="J899">
        <v>818866</v>
      </c>
      <c r="M899">
        <v>2153617.673</v>
      </c>
      <c r="N899">
        <v>2.9999999999999997E-4</v>
      </c>
    </row>
    <row r="900" spans="1:14" x14ac:dyDescent="0.35">
      <c r="A900" s="1">
        <v>45657</v>
      </c>
      <c r="B900" t="s">
        <v>14</v>
      </c>
      <c r="C900" t="s">
        <v>15</v>
      </c>
      <c r="D900" t="s">
        <v>81</v>
      </c>
      <c r="E900">
        <v>1</v>
      </c>
      <c r="F900" t="s">
        <v>1331</v>
      </c>
      <c r="H900" t="s">
        <v>1332</v>
      </c>
      <c r="I900" t="str">
        <f>IF(ISBLANK(H900),"",INDEX(Sheet1!$F$2:$F$936,MATCH(H900,Sheet1!$C$2:$C$936,0)))</f>
        <v>Sweden</v>
      </c>
      <c r="J900">
        <v>31726</v>
      </c>
      <c r="M900">
        <v>1241480.2620000001</v>
      </c>
      <c r="N900">
        <v>2.0000000000000001E-4</v>
      </c>
    </row>
    <row r="901" spans="1:14" x14ac:dyDescent="0.35">
      <c r="A901" s="1">
        <v>45657</v>
      </c>
      <c r="B901" t="s">
        <v>14</v>
      </c>
      <c r="C901" t="s">
        <v>15</v>
      </c>
      <c r="D901" t="s">
        <v>81</v>
      </c>
      <c r="E901">
        <v>1</v>
      </c>
      <c r="F901" t="s">
        <v>1333</v>
      </c>
      <c r="H901">
        <v>2931205</v>
      </c>
      <c r="I901" t="str">
        <f>IF(ISBLANK(H901),"",INDEX(Sheet1!$F$2:$F$936,MATCH(H901,Sheet1!$C$2:$C$936,0)))</f>
        <v>United States</v>
      </c>
      <c r="J901">
        <v>4731</v>
      </c>
      <c r="M901">
        <v>1966607.6040000001</v>
      </c>
      <c r="N901">
        <v>2.9999999999999997E-4</v>
      </c>
    </row>
    <row r="902" spans="1:14" x14ac:dyDescent="0.35">
      <c r="A902" s="1">
        <v>45657</v>
      </c>
      <c r="B902" t="s">
        <v>14</v>
      </c>
      <c r="C902" t="s">
        <v>15</v>
      </c>
      <c r="D902" t="s">
        <v>81</v>
      </c>
      <c r="E902">
        <v>1</v>
      </c>
      <c r="F902" t="s">
        <v>1334</v>
      </c>
      <c r="H902" t="s">
        <v>1335</v>
      </c>
      <c r="I902" t="str">
        <f>IF(ISBLANK(H902),"",INDEX(Sheet1!$F$2:$F$936,MATCH(H902,Sheet1!$C$2:$C$936,0)))</f>
        <v>AUD</v>
      </c>
      <c r="J902">
        <v>73943</v>
      </c>
      <c r="M902">
        <v>499114.33689999999</v>
      </c>
      <c r="N902">
        <v>1E-4</v>
      </c>
    </row>
    <row r="903" spans="1:14" x14ac:dyDescent="0.35">
      <c r="A903" s="1">
        <v>45657</v>
      </c>
      <c r="B903" t="s">
        <v>14</v>
      </c>
      <c r="C903" t="s">
        <v>15</v>
      </c>
      <c r="D903" t="s">
        <v>81</v>
      </c>
      <c r="E903">
        <v>1</v>
      </c>
      <c r="F903" t="s">
        <v>1336</v>
      </c>
      <c r="H903">
        <v>2936921</v>
      </c>
      <c r="I903" t="str">
        <f>IF(ISBLANK(H903),"",INDEX(Sheet1!$F$2:$F$936,MATCH(H903,Sheet1!$C$2:$C$936,0)))</f>
        <v>United States</v>
      </c>
      <c r="J903">
        <v>80961</v>
      </c>
      <c r="M903">
        <v>11822123.18</v>
      </c>
      <c r="N903">
        <v>1.6000000000000001E-3</v>
      </c>
    </row>
    <row r="904" spans="1:14" x14ac:dyDescent="0.35">
      <c r="A904" s="1">
        <v>45657</v>
      </c>
      <c r="B904" t="s">
        <v>14</v>
      </c>
      <c r="C904" t="s">
        <v>15</v>
      </c>
      <c r="D904" t="s">
        <v>81</v>
      </c>
      <c r="E904">
        <v>1</v>
      </c>
      <c r="F904" t="s">
        <v>1337</v>
      </c>
      <c r="H904">
        <v>4525189</v>
      </c>
      <c r="I904" t="str">
        <f>IF(ISBLANK(H904),"",INDEX(Sheet1!$F$2:$F$936,MATCH(H904,Sheet1!$C$2:$C$936,0)))</f>
        <v>Finland</v>
      </c>
      <c r="J904">
        <v>13099</v>
      </c>
      <c r="M904">
        <v>375271.04590000003</v>
      </c>
      <c r="N904">
        <v>1E-4</v>
      </c>
    </row>
    <row r="905" spans="1:14" x14ac:dyDescent="0.35">
      <c r="A905" s="1">
        <v>45657</v>
      </c>
      <c r="B905" t="s">
        <v>14</v>
      </c>
      <c r="C905" t="s">
        <v>15</v>
      </c>
      <c r="D905" t="s">
        <v>81</v>
      </c>
      <c r="E905">
        <v>1</v>
      </c>
      <c r="F905" t="s">
        <v>1338</v>
      </c>
      <c r="H905">
        <v>6821807</v>
      </c>
      <c r="I905" t="str">
        <f>IF(ISBLANK(H905),"",INDEX(Sheet1!$F$2:$F$936,MATCH(H905,Sheet1!$C$2:$C$936,0)))</f>
        <v>Australia</v>
      </c>
      <c r="J905">
        <v>7926</v>
      </c>
      <c r="M905">
        <v>271238.95169999998</v>
      </c>
      <c r="N905">
        <v>0</v>
      </c>
    </row>
    <row r="906" spans="1:14" x14ac:dyDescent="0.35">
      <c r="A906" s="1">
        <v>45657</v>
      </c>
      <c r="B906" t="s">
        <v>14</v>
      </c>
      <c r="C906" t="s">
        <v>15</v>
      </c>
      <c r="D906" t="s">
        <v>81</v>
      </c>
      <c r="E906">
        <v>1</v>
      </c>
      <c r="F906" t="s">
        <v>1339</v>
      </c>
      <c r="H906">
        <v>6015815</v>
      </c>
      <c r="I906" t="str">
        <f>IF(ISBLANK(H906),"",INDEX(Sheet1!$F$2:$F$936,MATCH(H906,Sheet1!$C$2:$C$936,0)))</f>
        <v>AUD</v>
      </c>
      <c r="J906">
        <v>52342</v>
      </c>
      <c r="M906">
        <v>240248.24369999999</v>
      </c>
      <c r="N906">
        <v>0</v>
      </c>
    </row>
    <row r="907" spans="1:14" x14ac:dyDescent="0.35">
      <c r="A907" s="1">
        <v>45657</v>
      </c>
      <c r="B907" t="s">
        <v>14</v>
      </c>
      <c r="C907" t="s">
        <v>15</v>
      </c>
      <c r="D907" t="s">
        <v>81</v>
      </c>
      <c r="E907">
        <v>1</v>
      </c>
      <c r="F907" t="s">
        <v>1340</v>
      </c>
      <c r="H907">
        <v>2945422</v>
      </c>
      <c r="I907" t="str">
        <f>IF(ISBLANK(H907),"",INDEX(Sheet1!$F$2:$F$936,MATCH(H907,Sheet1!$C$2:$C$936,0)))</f>
        <v>BRL</v>
      </c>
      <c r="J907">
        <v>105153</v>
      </c>
      <c r="M907">
        <v>1450693.6529999999</v>
      </c>
      <c r="N907">
        <v>2.0000000000000001E-4</v>
      </c>
    </row>
    <row r="908" spans="1:14" x14ac:dyDescent="0.35">
      <c r="A908" s="1">
        <v>45657</v>
      </c>
      <c r="B908" t="s">
        <v>14</v>
      </c>
      <c r="C908" t="s">
        <v>15</v>
      </c>
      <c r="D908" t="s">
        <v>81</v>
      </c>
      <c r="E908">
        <v>1</v>
      </c>
      <c r="F908" t="s">
        <v>1341</v>
      </c>
      <c r="H908">
        <v>2649100</v>
      </c>
      <c r="I908" t="str">
        <f>IF(ISBLANK(H908),"",INDEX(Sheet1!$F$2:$F$936,MATCH(H908,Sheet1!$C$2:$C$936,0)))</f>
        <v>United States</v>
      </c>
      <c r="J908">
        <v>25356</v>
      </c>
      <c r="M908">
        <v>2878170.99</v>
      </c>
      <c r="N908">
        <v>4.0000000000000002E-4</v>
      </c>
    </row>
    <row r="909" spans="1:14" x14ac:dyDescent="0.35">
      <c r="A909" s="1">
        <v>45657</v>
      </c>
      <c r="B909" t="s">
        <v>14</v>
      </c>
      <c r="C909" t="s">
        <v>15</v>
      </c>
      <c r="D909" t="s">
        <v>81</v>
      </c>
      <c r="E909">
        <v>1</v>
      </c>
      <c r="F909" t="s">
        <v>1342</v>
      </c>
      <c r="H909">
        <v>6948836</v>
      </c>
      <c r="I909" t="str">
        <f>IF(ISBLANK(H909),"",INDEX(Sheet1!$F$2:$F$936,MATCH(H909,Sheet1!$C$2:$C$936,0)))</f>
        <v>Australia</v>
      </c>
      <c r="J909">
        <v>689674</v>
      </c>
      <c r="M909">
        <v>45380581.5</v>
      </c>
      <c r="N909">
        <v>6.3E-3</v>
      </c>
    </row>
    <row r="910" spans="1:14" x14ac:dyDescent="0.35">
      <c r="A910" s="1">
        <v>45657</v>
      </c>
      <c r="B910" t="s">
        <v>14</v>
      </c>
      <c r="C910" t="s">
        <v>15</v>
      </c>
      <c r="D910" t="s">
        <v>81</v>
      </c>
      <c r="E910">
        <v>1</v>
      </c>
      <c r="F910" t="s">
        <v>1343</v>
      </c>
      <c r="H910" t="s">
        <v>1344</v>
      </c>
      <c r="I910" t="str">
        <f>IF(ISBLANK(H910),"",INDEX(Sheet1!$F$2:$F$936,MATCH(H910,Sheet1!$C$2:$C$936,0)))</f>
        <v>AUD</v>
      </c>
      <c r="J910">
        <v>1260932</v>
      </c>
      <c r="M910">
        <v>1809437.469</v>
      </c>
      <c r="N910">
        <v>2.9999999999999997E-4</v>
      </c>
    </row>
    <row r="911" spans="1:14" x14ac:dyDescent="0.35">
      <c r="A911" s="1">
        <v>45657</v>
      </c>
      <c r="B911" t="s">
        <v>14</v>
      </c>
      <c r="C911" t="s">
        <v>15</v>
      </c>
      <c r="D911" t="s">
        <v>81</v>
      </c>
      <c r="E911">
        <v>1</v>
      </c>
      <c r="F911" t="s">
        <v>1345</v>
      </c>
      <c r="H911" t="s">
        <v>1346</v>
      </c>
      <c r="I911" t="str">
        <f>IF(ISBLANK(H911),"",INDEX(Sheet1!$F$2:$F$936,MATCH(H911,Sheet1!$C$2:$C$936,0)))</f>
        <v>AUD</v>
      </c>
      <c r="J911">
        <v>390890</v>
      </c>
      <c r="M911">
        <v>1106219.0020000001</v>
      </c>
      <c r="N911">
        <v>2.0000000000000001E-4</v>
      </c>
    </row>
    <row r="912" spans="1:14" x14ac:dyDescent="0.35">
      <c r="A912" s="1">
        <v>45657</v>
      </c>
      <c r="B912" t="s">
        <v>14</v>
      </c>
      <c r="C912" t="s">
        <v>15</v>
      </c>
      <c r="D912" t="s">
        <v>81</v>
      </c>
      <c r="E912">
        <v>1</v>
      </c>
      <c r="F912" t="s">
        <v>1347</v>
      </c>
      <c r="H912">
        <v>2955733</v>
      </c>
      <c r="I912" t="str">
        <f>IF(ISBLANK(H912),"",INDEX(Sheet1!$F$2:$F$936,MATCH(H912,Sheet1!$C$2:$C$936,0)))</f>
        <v>United States</v>
      </c>
      <c r="J912">
        <v>11386</v>
      </c>
      <c r="M912">
        <v>3487321.9879999999</v>
      </c>
      <c r="N912">
        <v>5.0000000000000001E-4</v>
      </c>
    </row>
    <row r="913" spans="1:14" x14ac:dyDescent="0.35">
      <c r="A913" s="1">
        <v>45657</v>
      </c>
      <c r="B913" t="s">
        <v>14</v>
      </c>
      <c r="C913" t="s">
        <v>15</v>
      </c>
      <c r="D913" t="s">
        <v>81</v>
      </c>
      <c r="E913">
        <v>1</v>
      </c>
      <c r="F913" t="s">
        <v>1348</v>
      </c>
      <c r="H913">
        <v>6076146</v>
      </c>
      <c r="I913" t="str">
        <f>IF(ISBLANK(H913),"",INDEX(Sheet1!$F$2:$F$936,MATCH(H913,Sheet1!$C$2:$C$936,0)))</f>
        <v>Australia</v>
      </c>
      <c r="J913">
        <v>1252532</v>
      </c>
      <c r="M913">
        <v>40481841.259999998</v>
      </c>
      <c r="N913">
        <v>5.5999999999999904E-3</v>
      </c>
    </row>
    <row r="914" spans="1:14" x14ac:dyDescent="0.35">
      <c r="A914" s="1">
        <v>45657</v>
      </c>
      <c r="B914" t="s">
        <v>14</v>
      </c>
      <c r="C914" t="s">
        <v>15</v>
      </c>
      <c r="D914" t="s">
        <v>81</v>
      </c>
      <c r="E914">
        <v>1</v>
      </c>
      <c r="F914" t="s">
        <v>1349</v>
      </c>
      <c r="H914" t="s">
        <v>1350</v>
      </c>
      <c r="I914" t="str">
        <f>IF(ISBLANK(H914),"",INDEX(Sheet1!$F$2:$F$936,MATCH(H914,Sheet1!$C$2:$C$936,0)))</f>
        <v>Hong Kong</v>
      </c>
      <c r="J914">
        <v>1245955</v>
      </c>
      <c r="M914">
        <v>1556949.365</v>
      </c>
      <c r="N914">
        <v>2.0000000000000001E-4</v>
      </c>
    </row>
    <row r="915" spans="1:14" x14ac:dyDescent="0.35">
      <c r="A915" s="1">
        <v>45657</v>
      </c>
      <c r="B915" t="s">
        <v>14</v>
      </c>
      <c r="C915" t="s">
        <v>15</v>
      </c>
      <c r="D915" t="s">
        <v>81</v>
      </c>
      <c r="E915">
        <v>1</v>
      </c>
      <c r="F915" t="s">
        <v>1351</v>
      </c>
      <c r="H915" t="s">
        <v>1352</v>
      </c>
      <c r="I915" t="str">
        <f>IF(ISBLANK(H915),"",INDEX(Sheet1!$F$2:$F$936,MATCH(H915,Sheet1!$C$2:$C$936,0)))</f>
        <v>CA</v>
      </c>
      <c r="J915">
        <v>36617</v>
      </c>
      <c r="M915">
        <v>3318533.1570000001</v>
      </c>
      <c r="N915">
        <v>5.0000000000000001E-4</v>
      </c>
    </row>
    <row r="916" spans="1:14" x14ac:dyDescent="0.35">
      <c r="A916" s="1">
        <v>45657</v>
      </c>
      <c r="B916" t="s">
        <v>14</v>
      </c>
      <c r="C916" t="s">
        <v>15</v>
      </c>
      <c r="D916" t="s">
        <v>81</v>
      </c>
      <c r="E916">
        <v>1</v>
      </c>
      <c r="F916" t="s">
        <v>1353</v>
      </c>
      <c r="H916" t="s">
        <v>1354</v>
      </c>
      <c r="I916" t="str">
        <f>IF(ISBLANK(H916),"",INDEX(Sheet1!$F$2:$F$936,MATCH(H916,Sheet1!$C$2:$C$936,0)))</f>
        <v>Australia</v>
      </c>
      <c r="J916">
        <v>330776</v>
      </c>
      <c r="M916">
        <v>2050814.1</v>
      </c>
      <c r="N916">
        <v>2.9999999999999997E-4</v>
      </c>
    </row>
    <row r="917" spans="1:14" x14ac:dyDescent="0.35">
      <c r="A917" s="1">
        <v>45657</v>
      </c>
      <c r="B917" t="s">
        <v>14</v>
      </c>
      <c r="C917" t="s">
        <v>15</v>
      </c>
      <c r="D917" t="s">
        <v>81</v>
      </c>
      <c r="E917">
        <v>1</v>
      </c>
      <c r="F917" t="s">
        <v>1355</v>
      </c>
      <c r="H917">
        <v>2967589</v>
      </c>
      <c r="I917" t="str">
        <f>IF(ISBLANK(H917),"",INDEX(Sheet1!$F$2:$F$936,MATCH(H917,Sheet1!$C$2:$C$936,0)))</f>
        <v>United States</v>
      </c>
      <c r="J917">
        <v>5467</v>
      </c>
      <c r="M917">
        <v>1635491.298</v>
      </c>
      <c r="N917">
        <v>2.0000000000000001E-4</v>
      </c>
    </row>
    <row r="918" spans="1:14" x14ac:dyDescent="0.35">
      <c r="A918" s="1">
        <v>45657</v>
      </c>
      <c r="B918" t="s">
        <v>14</v>
      </c>
      <c r="C918" t="s">
        <v>15</v>
      </c>
      <c r="D918" t="s">
        <v>81</v>
      </c>
      <c r="E918">
        <v>1</v>
      </c>
      <c r="F918" t="s">
        <v>1356</v>
      </c>
      <c r="H918">
        <v>6206051</v>
      </c>
      <c r="I918" t="str">
        <f>IF(ISBLANK(H918),"",INDEX(Sheet1!$F$2:$F$936,MATCH(H918,Sheet1!$C$2:$C$936,0)))</f>
        <v>INR</v>
      </c>
      <c r="J918">
        <v>246501</v>
      </c>
      <c r="M918">
        <v>1402988.5930000001</v>
      </c>
      <c r="N918">
        <v>2.0000000000000001E-4</v>
      </c>
    </row>
    <row r="919" spans="1:14" x14ac:dyDescent="0.35">
      <c r="A919" s="1">
        <v>45657</v>
      </c>
      <c r="B919" t="s">
        <v>14</v>
      </c>
      <c r="C919" t="s">
        <v>15</v>
      </c>
      <c r="D919" t="s">
        <v>81</v>
      </c>
      <c r="E919">
        <v>1</v>
      </c>
      <c r="F919" t="s">
        <v>1357</v>
      </c>
      <c r="H919" t="s">
        <v>1358</v>
      </c>
      <c r="I919" t="str">
        <f>IF(ISBLANK(H919),"",INDEX(Sheet1!$F$2:$F$936,MATCH(H919,Sheet1!$C$2:$C$936,0)))</f>
        <v>Australia</v>
      </c>
      <c r="J919">
        <v>103540</v>
      </c>
      <c r="M919">
        <v>11702100.41</v>
      </c>
      <c r="N919">
        <v>1.6000000000000001E-3</v>
      </c>
    </row>
    <row r="920" spans="1:14" x14ac:dyDescent="0.35">
      <c r="A920" s="1">
        <v>45657</v>
      </c>
      <c r="B920" t="s">
        <v>14</v>
      </c>
      <c r="C920" t="s">
        <v>15</v>
      </c>
      <c r="D920" t="s">
        <v>81</v>
      </c>
      <c r="E920">
        <v>1</v>
      </c>
      <c r="F920" t="s">
        <v>1359</v>
      </c>
      <c r="H920" t="s">
        <v>1360</v>
      </c>
      <c r="I920" t="str">
        <f>IF(ISBLANK(H920),"",INDEX(Sheet1!$F$2:$F$936,MATCH(H920,Sheet1!$C$2:$C$936,0)))</f>
        <v>Israel</v>
      </c>
      <c r="J920">
        <v>992</v>
      </c>
      <c r="M920">
        <v>343335.03490000003</v>
      </c>
      <c r="N920">
        <v>0</v>
      </c>
    </row>
    <row r="921" spans="1:14" x14ac:dyDescent="0.35">
      <c r="A921" s="1">
        <v>45657</v>
      </c>
      <c r="B921" t="s">
        <v>14</v>
      </c>
      <c r="C921" t="s">
        <v>15</v>
      </c>
      <c r="D921" t="s">
        <v>81</v>
      </c>
      <c r="E921">
        <v>1</v>
      </c>
      <c r="F921" t="s">
        <v>1361</v>
      </c>
      <c r="H921">
        <v>5671519</v>
      </c>
      <c r="I921" t="str">
        <f>IF(ISBLANK(H921),"",INDEX(Sheet1!$F$2:$F$936,MATCH(H921,Sheet1!$C$2:$C$936,0)))</f>
        <v>Netherlands</v>
      </c>
      <c r="J921">
        <v>9494</v>
      </c>
      <c r="M921">
        <v>2541315.895</v>
      </c>
      <c r="N921">
        <v>4.0000000000000002E-4</v>
      </c>
    </row>
    <row r="922" spans="1:14" x14ac:dyDescent="0.35">
      <c r="A922" s="1">
        <v>45657</v>
      </c>
      <c r="B922" t="s">
        <v>14</v>
      </c>
      <c r="C922" t="s">
        <v>15</v>
      </c>
      <c r="D922" t="s">
        <v>81</v>
      </c>
      <c r="E922">
        <v>1</v>
      </c>
      <c r="F922" t="s">
        <v>1362</v>
      </c>
      <c r="H922" t="s">
        <v>1363</v>
      </c>
      <c r="I922" t="str">
        <f>IF(ISBLANK(H922),"",INDEX(Sheet1!$F$2:$F$936,MATCH(H922,Sheet1!$C$2:$C$936,0)))</f>
        <v>AUD</v>
      </c>
      <c r="J922">
        <v>675853</v>
      </c>
      <c r="M922">
        <v>16024469.029999999</v>
      </c>
      <c r="N922">
        <v>2.2000000000000001E-3</v>
      </c>
    </row>
    <row r="923" spans="1:14" x14ac:dyDescent="0.35">
      <c r="A923" s="1">
        <v>45657</v>
      </c>
      <c r="B923" t="s">
        <v>14</v>
      </c>
      <c r="C923" t="s">
        <v>15</v>
      </c>
      <c r="D923" t="s">
        <v>81</v>
      </c>
      <c r="E923">
        <v>1</v>
      </c>
      <c r="F923" t="s">
        <v>1364</v>
      </c>
      <c r="H923">
        <v>6981239</v>
      </c>
      <c r="I923" t="str">
        <f>IF(ISBLANK(H923),"",INDEX(Sheet1!$F$2:$F$936,MATCH(H923,Sheet1!$C$2:$C$936,0)))</f>
        <v>Australia</v>
      </c>
      <c r="J923">
        <v>877124</v>
      </c>
      <c r="M923">
        <v>25348883.73</v>
      </c>
      <c r="N923">
        <v>3.4999999999999996E-3</v>
      </c>
    </row>
    <row r="924" spans="1:14" x14ac:dyDescent="0.35">
      <c r="A924" s="1">
        <v>45657</v>
      </c>
      <c r="B924" t="s">
        <v>14</v>
      </c>
      <c r="C924" t="s">
        <v>15</v>
      </c>
      <c r="D924" t="s">
        <v>81</v>
      </c>
      <c r="E924">
        <v>1</v>
      </c>
      <c r="F924" t="s">
        <v>1365</v>
      </c>
      <c r="H924" t="s">
        <v>1366</v>
      </c>
      <c r="I924" t="str">
        <f>IF(ISBLANK(H924),"",INDEX(Sheet1!$F$2:$F$936,MATCH(H924,Sheet1!$C$2:$C$936,0)))</f>
        <v>South Korea</v>
      </c>
      <c r="J924">
        <v>10095</v>
      </c>
      <c r="M924">
        <v>170225.13800000001</v>
      </c>
      <c r="N924">
        <v>0</v>
      </c>
    </row>
    <row r="925" spans="1:14" x14ac:dyDescent="0.35">
      <c r="A925" s="1">
        <v>45657</v>
      </c>
      <c r="B925" t="s">
        <v>14</v>
      </c>
      <c r="C925" t="s">
        <v>15</v>
      </c>
      <c r="D925" t="s">
        <v>81</v>
      </c>
      <c r="E925">
        <v>1</v>
      </c>
      <c r="F925" t="s">
        <v>1367</v>
      </c>
      <c r="H925" t="s">
        <v>1368</v>
      </c>
      <c r="I925" t="str">
        <f>IF(ISBLANK(H925),"",INDEX(Sheet1!$F$2:$F$936,MATCH(H925,Sheet1!$C$2:$C$936,0)))</f>
        <v>United States</v>
      </c>
      <c r="J925">
        <v>7962</v>
      </c>
      <c r="M925">
        <v>3317845.358</v>
      </c>
      <c r="N925">
        <v>5.0000000000000001E-4</v>
      </c>
    </row>
    <row r="926" spans="1:14" x14ac:dyDescent="0.35">
      <c r="A926" s="1">
        <v>45657</v>
      </c>
      <c r="B926" t="s">
        <v>14</v>
      </c>
      <c r="C926" t="s">
        <v>15</v>
      </c>
      <c r="D926" t="s">
        <v>81</v>
      </c>
      <c r="E926">
        <v>1</v>
      </c>
      <c r="F926" t="s">
        <v>1369</v>
      </c>
      <c r="H926">
        <v>6562474</v>
      </c>
      <c r="I926" t="str">
        <f>IF(ISBLANK(H926),"",INDEX(Sheet1!$F$2:$F$936,MATCH(H926,Sheet1!$C$2:$C$936,0)))</f>
        <v>Australia</v>
      </c>
      <c r="J926">
        <v>274399</v>
      </c>
      <c r="M926">
        <v>3759260.96</v>
      </c>
      <c r="N926">
        <v>5.0000000000000001E-4</v>
      </c>
    </row>
    <row r="927" spans="1:14" x14ac:dyDescent="0.35">
      <c r="A927" s="1">
        <v>45657</v>
      </c>
      <c r="B927" t="s">
        <v>14</v>
      </c>
      <c r="C927" t="s">
        <v>15</v>
      </c>
      <c r="D927" t="s">
        <v>81</v>
      </c>
      <c r="E927">
        <v>1</v>
      </c>
      <c r="F927" t="s">
        <v>1370</v>
      </c>
      <c r="H927" t="s">
        <v>1371</v>
      </c>
      <c r="I927" t="str">
        <f>IF(ISBLANK(H927),"",INDEX(Sheet1!$F$2:$F$936,MATCH(H927,Sheet1!$C$2:$C$936,0)))</f>
        <v>Canada</v>
      </c>
      <c r="J927">
        <v>12173</v>
      </c>
      <c r="M927">
        <v>3452099.66</v>
      </c>
      <c r="N927">
        <v>5.0000000000000001E-4</v>
      </c>
    </row>
    <row r="928" spans="1:14" x14ac:dyDescent="0.35">
      <c r="A928" s="1">
        <v>45657</v>
      </c>
      <c r="B928" t="s">
        <v>14</v>
      </c>
      <c r="C928" t="s">
        <v>15</v>
      </c>
      <c r="D928" t="s">
        <v>81</v>
      </c>
      <c r="E928">
        <v>1</v>
      </c>
      <c r="F928" t="s">
        <v>1372</v>
      </c>
      <c r="H928">
        <v>2963811</v>
      </c>
      <c r="I928" t="str">
        <f>IF(ISBLANK(H928),"",INDEX(Sheet1!$F$2:$F$936,MATCH(H928,Sheet1!$C$2:$C$936,0)))</f>
        <v>USD</v>
      </c>
      <c r="J928">
        <v>4329</v>
      </c>
      <c r="M928">
        <v>602383.84129999997</v>
      </c>
      <c r="N928">
        <v>1E-4</v>
      </c>
    </row>
    <row r="929" spans="1:14" x14ac:dyDescent="0.35">
      <c r="A929" s="1">
        <v>45657</v>
      </c>
      <c r="B929" t="s">
        <v>14</v>
      </c>
      <c r="C929" t="s">
        <v>15</v>
      </c>
      <c r="D929" t="s">
        <v>81</v>
      </c>
      <c r="E929">
        <v>1</v>
      </c>
      <c r="F929" t="s">
        <v>1373</v>
      </c>
      <c r="H929" t="s">
        <v>1374</v>
      </c>
      <c r="I929" t="str">
        <f>IF(ISBLANK(H929),"",INDEX(Sheet1!$F$2:$F$936,MATCH(H929,Sheet1!$C$2:$C$936,0)))</f>
        <v>New Zealand</v>
      </c>
      <c r="J929">
        <v>92144</v>
      </c>
      <c r="M929">
        <v>15418398.210000001</v>
      </c>
      <c r="N929">
        <v>2.0999999999999999E-3</v>
      </c>
    </row>
    <row r="930" spans="1:14" x14ac:dyDescent="0.35">
      <c r="A930" s="1">
        <v>45657</v>
      </c>
      <c r="B930" t="s">
        <v>14</v>
      </c>
      <c r="C930" t="s">
        <v>15</v>
      </c>
      <c r="D930" t="s">
        <v>81</v>
      </c>
      <c r="E930">
        <v>1</v>
      </c>
      <c r="F930" t="s">
        <v>1375</v>
      </c>
      <c r="H930" t="s">
        <v>1376</v>
      </c>
      <c r="I930" t="str">
        <f>IF(ISBLANK(H930),"",INDEX(Sheet1!$F$2:$F$936,MATCH(H930,Sheet1!$C$2:$C$936,0)))</f>
        <v>HKD</v>
      </c>
      <c r="J930">
        <v>411352</v>
      </c>
      <c r="M930">
        <v>2950734.72</v>
      </c>
      <c r="N930">
        <v>4.0000000000000002E-4</v>
      </c>
    </row>
    <row r="931" spans="1:14" x14ac:dyDescent="0.35">
      <c r="A931" s="1">
        <v>45657</v>
      </c>
      <c r="B931" t="s">
        <v>14</v>
      </c>
      <c r="C931" t="s">
        <v>15</v>
      </c>
      <c r="D931" t="s">
        <v>81</v>
      </c>
      <c r="E931">
        <v>1</v>
      </c>
      <c r="F931" t="s">
        <v>1377</v>
      </c>
      <c r="H931" t="s">
        <v>1378</v>
      </c>
      <c r="I931" t="str">
        <f>IF(ISBLANK(H931),"",INDEX(Sheet1!$F$2:$F$936,MATCH(H931,Sheet1!$C$2:$C$936,0)))</f>
        <v>USD</v>
      </c>
      <c r="J931">
        <v>40169</v>
      </c>
      <c r="M931">
        <v>768156.42099999997</v>
      </c>
      <c r="N931">
        <v>1E-4</v>
      </c>
    </row>
    <row r="932" spans="1:14" x14ac:dyDescent="0.35">
      <c r="A932" s="1">
        <v>45657</v>
      </c>
      <c r="B932" t="s">
        <v>14</v>
      </c>
      <c r="C932" t="s">
        <v>15</v>
      </c>
      <c r="D932" t="s">
        <v>81</v>
      </c>
      <c r="E932">
        <v>1</v>
      </c>
      <c r="F932" t="s">
        <v>1379</v>
      </c>
      <c r="H932">
        <v>6986427</v>
      </c>
      <c r="I932" t="str">
        <f>IF(ISBLANK(H932),"",INDEX(Sheet1!$F$2:$F$936,MATCH(H932,Sheet1!$C$2:$C$936,0)))</f>
        <v>Japan</v>
      </c>
      <c r="J932">
        <v>29107</v>
      </c>
      <c r="M932">
        <v>1013760.309</v>
      </c>
      <c r="N932">
        <v>1E-4</v>
      </c>
    </row>
    <row r="933" spans="1:14" x14ac:dyDescent="0.35">
      <c r="A933" s="1">
        <v>45657</v>
      </c>
      <c r="B933" t="s">
        <v>14</v>
      </c>
      <c r="C933" t="s">
        <v>15</v>
      </c>
      <c r="D933" t="s">
        <v>81</v>
      </c>
      <c r="E933">
        <v>1</v>
      </c>
      <c r="F933" t="s">
        <v>1380</v>
      </c>
      <c r="H933">
        <v>6424110</v>
      </c>
      <c r="I933" t="str">
        <f>IF(ISBLANK(H933),"",INDEX(Sheet1!$F$2:$F$936,MATCH(H933,Sheet1!$C$2:$C$936,0)))</f>
        <v>Taiwan</v>
      </c>
      <c r="J933">
        <v>876661</v>
      </c>
      <c r="M933">
        <v>1468406.182</v>
      </c>
      <c r="N933">
        <v>2.0000000000000001E-4</v>
      </c>
    </row>
    <row r="934" spans="1:14" x14ac:dyDescent="0.35">
      <c r="A934" s="1">
        <v>45657</v>
      </c>
      <c r="B934" t="s">
        <v>14</v>
      </c>
      <c r="C934" t="s">
        <v>15</v>
      </c>
      <c r="D934" t="s">
        <v>81</v>
      </c>
      <c r="E934">
        <v>1</v>
      </c>
      <c r="F934" t="s">
        <v>1381</v>
      </c>
      <c r="H934" t="s">
        <v>1382</v>
      </c>
      <c r="I934" t="str">
        <f>IF(ISBLANK(H934),"",INDEX(Sheet1!$F$2:$F$936,MATCH(H934,Sheet1!$C$2:$C$936,0)))</f>
        <v>CNY</v>
      </c>
      <c r="J934">
        <v>430134</v>
      </c>
      <c r="M934">
        <v>1286787.3289999999</v>
      </c>
      <c r="N934">
        <v>2.0000000000000001E-4</v>
      </c>
    </row>
    <row r="935" spans="1:14" x14ac:dyDescent="0.35">
      <c r="A935" s="1">
        <v>45657</v>
      </c>
      <c r="B935" t="s">
        <v>14</v>
      </c>
      <c r="C935" t="s">
        <v>15</v>
      </c>
      <c r="D935" t="s">
        <v>81</v>
      </c>
      <c r="E935">
        <v>1</v>
      </c>
      <c r="F935" t="s">
        <v>1383</v>
      </c>
      <c r="H935">
        <v>2989356</v>
      </c>
      <c r="I935" t="str">
        <f>IF(ISBLANK(H935),"",INDEX(Sheet1!$F$2:$F$936,MATCH(H935,Sheet1!$C$2:$C$936,0)))</f>
        <v>United States</v>
      </c>
      <c r="J935">
        <v>4743</v>
      </c>
      <c r="M935">
        <v>2958584.0430000001</v>
      </c>
      <c r="N935">
        <v>4.0000000000000002E-4</v>
      </c>
    </row>
    <row r="936" spans="1:14" x14ac:dyDescent="0.35">
      <c r="A936" s="1">
        <v>45657</v>
      </c>
      <c r="B936" t="s">
        <v>14</v>
      </c>
      <c r="C936" t="s">
        <v>15</v>
      </c>
      <c r="D936" t="s">
        <v>81</v>
      </c>
      <c r="E936">
        <v>1</v>
      </c>
      <c r="F936" t="s">
        <v>1384</v>
      </c>
      <c r="H936">
        <v>6725299</v>
      </c>
      <c r="I936" t="str">
        <f>IF(ISBLANK(H936),"",INDEX(Sheet1!$F$2:$F$936,MATCH(H936,Sheet1!$C$2:$C$936,0)))</f>
        <v>HKD</v>
      </c>
      <c r="J936">
        <v>234492</v>
      </c>
      <c r="M936">
        <v>689404.68409999995</v>
      </c>
      <c r="N936">
        <v>1E-4</v>
      </c>
    </row>
    <row r="937" spans="1:14" x14ac:dyDescent="0.35">
      <c r="A937" s="1">
        <v>45657</v>
      </c>
      <c r="B937" t="s">
        <v>14</v>
      </c>
      <c r="C937" t="s">
        <v>15</v>
      </c>
      <c r="D937" t="s">
        <v>81</v>
      </c>
      <c r="E937">
        <v>1</v>
      </c>
      <c r="F937" t="s">
        <v>1385</v>
      </c>
      <c r="H937" t="s">
        <v>1386</v>
      </c>
      <c r="I937" t="str">
        <f>IF(ISBLANK(H937),"",INDEX(Sheet1!$F$2:$F$936,MATCH(H937,Sheet1!$C$2:$C$936,0)))</f>
        <v>AUD</v>
      </c>
      <c r="J937">
        <v>262335</v>
      </c>
      <c r="M937">
        <v>776511.15190000006</v>
      </c>
      <c r="N937">
        <v>1E-4</v>
      </c>
    </row>
    <row r="938" spans="1:14" x14ac:dyDescent="0.35">
      <c r="A938" s="1">
        <v>45657</v>
      </c>
      <c r="B938" t="s">
        <v>14</v>
      </c>
      <c r="C938" t="s">
        <v>15</v>
      </c>
      <c r="D938" t="s">
        <v>81</v>
      </c>
      <c r="E938">
        <v>1</v>
      </c>
      <c r="F938" t="s">
        <v>1387</v>
      </c>
      <c r="H938" t="s">
        <v>1388</v>
      </c>
      <c r="I938" t="str">
        <f>IF(ISBLANK(H938),"",INDEX(Sheet1!$F$2:$F$936,MATCH(H938,Sheet1!$C$2:$C$936,0)))</f>
        <v>United States</v>
      </c>
      <c r="J938">
        <v>25382</v>
      </c>
      <c r="M938">
        <v>3344320.7009999999</v>
      </c>
      <c r="N938">
        <v>5.0000000000000001E-4</v>
      </c>
    </row>
    <row r="939" spans="1:14" x14ac:dyDescent="0.35">
      <c r="A939" s="1">
        <v>45657</v>
      </c>
      <c r="B939" t="s">
        <v>14</v>
      </c>
      <c r="C939" t="s">
        <v>15</v>
      </c>
      <c r="D939" t="s">
        <v>81</v>
      </c>
      <c r="E939">
        <v>1</v>
      </c>
      <c r="F939" t="s">
        <v>1389</v>
      </c>
      <c r="H939">
        <v>5983816</v>
      </c>
      <c r="I939" t="str">
        <f>IF(ISBLANK(H939),"",INDEX(Sheet1!$F$2:$F$936,MATCH(H939,Sheet1!$C$2:$C$936,0)))</f>
        <v>Switzerland</v>
      </c>
      <c r="J939">
        <v>5106</v>
      </c>
      <c r="M939">
        <v>4901511.9009999996</v>
      </c>
      <c r="N939">
        <v>6.9999999999999891E-4</v>
      </c>
    </row>
    <row r="940" spans="1:14" x14ac:dyDescent="0.35">
      <c r="A940" s="1">
        <v>45657</v>
      </c>
      <c r="B940" t="s">
        <v>14</v>
      </c>
      <c r="C940" t="s">
        <v>15</v>
      </c>
      <c r="D940" t="s">
        <v>81</v>
      </c>
      <c r="E940">
        <v>1</v>
      </c>
      <c r="F940" t="s">
        <v>1390</v>
      </c>
      <c r="H940" t="s">
        <v>1391</v>
      </c>
      <c r="I940" t="str">
        <f>IF(ISBLANK(H940),"",INDEX(Sheet1!$F$2:$F$936,MATCH(H940,Sheet1!$C$2:$C$936,0)))</f>
        <v>INR</v>
      </c>
      <c r="J940">
        <v>7650</v>
      </c>
      <c r="M940">
        <v>140078.1048</v>
      </c>
      <c r="N940">
        <v>0</v>
      </c>
    </row>
    <row r="941" spans="1:14" x14ac:dyDescent="0.35">
      <c r="A941" s="1">
        <v>45657</v>
      </c>
      <c r="B941" t="s">
        <v>14</v>
      </c>
      <c r="C941" t="s">
        <v>15</v>
      </c>
      <c r="D941" t="s">
        <v>81</v>
      </c>
      <c r="E941">
        <v>1</v>
      </c>
      <c r="F941" t="s">
        <v>71</v>
      </c>
      <c r="I941" t="str">
        <f>IF(ISBLANK(H941),"",INDEX(Sheet1!$F$2:$F$936,MATCH(H941,Sheet1!$C$2:$C$936,0)))</f>
        <v/>
      </c>
      <c r="M941">
        <v>3748001429.9275098</v>
      </c>
      <c r="N941">
        <v>0.51829999999999998</v>
      </c>
    </row>
    <row r="942" spans="1:14" x14ac:dyDescent="0.35">
      <c r="A942" s="1">
        <v>45657</v>
      </c>
      <c r="B942" t="s">
        <v>14</v>
      </c>
      <c r="C942" t="s">
        <v>15</v>
      </c>
      <c r="D942" t="s">
        <v>1392</v>
      </c>
      <c r="E942">
        <v>0</v>
      </c>
      <c r="F942" t="s">
        <v>1393</v>
      </c>
      <c r="I942" t="str">
        <f>IF(ISBLANK(H942),"",INDEX(Sheet1!$F$2:$F$936,MATCH(H942,Sheet1!$C$2:$C$936,0)))</f>
        <v/>
      </c>
      <c r="K942">
        <v>2.9000000000000001E-2</v>
      </c>
      <c r="N942">
        <v>0</v>
      </c>
    </row>
    <row r="943" spans="1:14" x14ac:dyDescent="0.35">
      <c r="A943" s="1">
        <v>45657</v>
      </c>
      <c r="B943" t="s">
        <v>14</v>
      </c>
      <c r="C943" t="s">
        <v>15</v>
      </c>
      <c r="D943" t="s">
        <v>1392</v>
      </c>
      <c r="E943">
        <v>0</v>
      </c>
      <c r="F943" t="s">
        <v>1394</v>
      </c>
      <c r="I943" t="str">
        <f>IF(ISBLANK(H943),"",INDEX(Sheet1!$F$2:$F$936,MATCH(H943,Sheet1!$C$2:$C$936,0)))</f>
        <v/>
      </c>
      <c r="K943">
        <v>3.5999999999999997E-2</v>
      </c>
      <c r="N943">
        <v>0</v>
      </c>
    </row>
    <row r="944" spans="1:14" x14ac:dyDescent="0.35">
      <c r="A944" s="1">
        <v>45657</v>
      </c>
      <c r="B944" t="s">
        <v>14</v>
      </c>
      <c r="C944" t="s">
        <v>15</v>
      </c>
      <c r="D944" t="s">
        <v>1392</v>
      </c>
      <c r="E944">
        <v>0</v>
      </c>
      <c r="F944" t="s">
        <v>71</v>
      </c>
      <c r="I944" t="str">
        <f>IF(ISBLANK(H944),"",INDEX(Sheet1!$F$2:$F$936,MATCH(H944,Sheet1!$C$2:$C$936,0)))</f>
        <v/>
      </c>
      <c r="M944">
        <v>37375481.799999997</v>
      </c>
      <c r="N944">
        <v>5.1999999999999998E-3</v>
      </c>
    </row>
    <row r="945" spans="1:14" x14ac:dyDescent="0.35">
      <c r="A945" s="1">
        <v>45657</v>
      </c>
      <c r="B945" t="s">
        <v>14</v>
      </c>
      <c r="C945" t="s">
        <v>15</v>
      </c>
      <c r="D945" t="s">
        <v>1395</v>
      </c>
      <c r="E945">
        <v>1</v>
      </c>
      <c r="F945" t="s">
        <v>1396</v>
      </c>
      <c r="I945" t="str">
        <f>IF(ISBLANK(H945),"",INDEX(Sheet1!$F$2:$F$936,MATCH(H945,Sheet1!$C$2:$C$936,0)))</f>
        <v/>
      </c>
      <c r="M945">
        <v>9030777.5470000003</v>
      </c>
      <c r="N945">
        <v>1.2999999999999999E-3</v>
      </c>
    </row>
    <row r="946" spans="1:14" x14ac:dyDescent="0.35">
      <c r="A946" s="1">
        <v>45657</v>
      </c>
      <c r="B946" t="s">
        <v>14</v>
      </c>
      <c r="C946" t="s">
        <v>15</v>
      </c>
      <c r="D946" t="s">
        <v>1395</v>
      </c>
      <c r="E946">
        <v>1</v>
      </c>
      <c r="F946" t="s">
        <v>1397</v>
      </c>
      <c r="I946" t="str">
        <f>IF(ISBLANK(H946),"",INDEX(Sheet1!$F$2:$F$936,MATCH(H946,Sheet1!$C$2:$C$936,0)))</f>
        <v/>
      </c>
      <c r="M946">
        <v>210600.01740000001</v>
      </c>
      <c r="N946">
        <v>0</v>
      </c>
    </row>
    <row r="947" spans="1:14" x14ac:dyDescent="0.35">
      <c r="A947" s="1">
        <v>45657</v>
      </c>
      <c r="B947" t="s">
        <v>14</v>
      </c>
      <c r="C947" t="s">
        <v>15</v>
      </c>
      <c r="D947" t="s">
        <v>1395</v>
      </c>
      <c r="E947">
        <v>1</v>
      </c>
      <c r="F947" t="s">
        <v>43</v>
      </c>
      <c r="I947" t="str">
        <f>IF(ISBLANK(H947),"",INDEX(Sheet1!$F$2:$F$936,MATCH(H947,Sheet1!$C$2:$C$936,0)))</f>
        <v/>
      </c>
      <c r="M947">
        <v>117602.77770000001</v>
      </c>
      <c r="N947">
        <v>0</v>
      </c>
    </row>
    <row r="948" spans="1:14" x14ac:dyDescent="0.35">
      <c r="A948" s="1">
        <v>45657</v>
      </c>
      <c r="B948" t="s">
        <v>14</v>
      </c>
      <c r="C948" t="s">
        <v>15</v>
      </c>
      <c r="D948" t="s">
        <v>1395</v>
      </c>
      <c r="E948">
        <v>1</v>
      </c>
      <c r="F948" t="s">
        <v>45</v>
      </c>
      <c r="I948" t="str">
        <f>IF(ISBLANK(H948),"",INDEX(Sheet1!$F$2:$F$936,MATCH(H948,Sheet1!$C$2:$C$936,0)))</f>
        <v/>
      </c>
      <c r="M948">
        <v>4595797.68</v>
      </c>
      <c r="N948">
        <v>5.9999999999999995E-4</v>
      </c>
    </row>
    <row r="949" spans="1:14" x14ac:dyDescent="0.35">
      <c r="A949" s="1">
        <v>45657</v>
      </c>
      <c r="B949" t="s">
        <v>14</v>
      </c>
      <c r="C949" t="s">
        <v>15</v>
      </c>
      <c r="D949" t="s">
        <v>1395</v>
      </c>
      <c r="E949">
        <v>1</v>
      </c>
      <c r="F949" t="s">
        <v>1398</v>
      </c>
      <c r="I949" t="str">
        <f>IF(ISBLANK(H949),"",INDEX(Sheet1!$F$2:$F$936,MATCH(H949,Sheet1!$C$2:$C$936,0)))</f>
        <v/>
      </c>
      <c r="M949">
        <v>322562.47580000001</v>
      </c>
      <c r="N949">
        <v>0</v>
      </c>
    </row>
    <row r="950" spans="1:14" x14ac:dyDescent="0.35">
      <c r="A950" s="1">
        <v>45657</v>
      </c>
      <c r="B950" t="s">
        <v>14</v>
      </c>
      <c r="C950" t="s">
        <v>15</v>
      </c>
      <c r="D950" t="s">
        <v>1395</v>
      </c>
      <c r="E950">
        <v>1</v>
      </c>
      <c r="F950" t="s">
        <v>1399</v>
      </c>
      <c r="I950" t="str">
        <f>IF(ISBLANK(H950),"",INDEX(Sheet1!$F$2:$F$936,MATCH(H950,Sheet1!$C$2:$C$936,0)))</f>
        <v/>
      </c>
      <c r="M950">
        <v>2410855.6669999999</v>
      </c>
      <c r="N950">
        <v>2.9999999999999997E-4</v>
      </c>
    </row>
    <row r="951" spans="1:14" x14ac:dyDescent="0.35">
      <c r="A951" s="1">
        <v>45657</v>
      </c>
      <c r="B951" t="s">
        <v>14</v>
      </c>
      <c r="C951" t="s">
        <v>15</v>
      </c>
      <c r="D951" t="s">
        <v>1395</v>
      </c>
      <c r="E951">
        <v>1</v>
      </c>
      <c r="F951" t="s">
        <v>64</v>
      </c>
      <c r="I951" t="str">
        <f>IF(ISBLANK(H951),"",INDEX(Sheet1!$F$2:$F$936,MATCH(H951,Sheet1!$C$2:$C$936,0)))</f>
        <v/>
      </c>
      <c r="M951">
        <v>21549.360700000001</v>
      </c>
      <c r="N951">
        <v>0</v>
      </c>
    </row>
    <row r="952" spans="1:14" x14ac:dyDescent="0.35">
      <c r="A952" s="1">
        <v>45657</v>
      </c>
      <c r="B952" t="s">
        <v>14</v>
      </c>
      <c r="C952" t="s">
        <v>15</v>
      </c>
      <c r="D952" t="s">
        <v>1395</v>
      </c>
      <c r="E952">
        <v>1</v>
      </c>
      <c r="F952" t="s">
        <v>67</v>
      </c>
      <c r="I952" t="str">
        <f>IF(ISBLANK(H952),"",INDEX(Sheet1!$F$2:$F$936,MATCH(H952,Sheet1!$C$2:$C$936,0)))</f>
        <v/>
      </c>
      <c r="M952">
        <v>1429676.9140000001</v>
      </c>
      <c r="N952">
        <v>2.0000000000000001E-4</v>
      </c>
    </row>
    <row r="953" spans="1:14" x14ac:dyDescent="0.35">
      <c r="A953" s="1">
        <v>45657</v>
      </c>
      <c r="B953" t="s">
        <v>14</v>
      </c>
      <c r="C953" t="s">
        <v>15</v>
      </c>
      <c r="D953" t="s">
        <v>1395</v>
      </c>
      <c r="E953">
        <v>1</v>
      </c>
      <c r="F953" t="s">
        <v>1400</v>
      </c>
      <c r="I953" t="str">
        <f>IF(ISBLANK(H953),"",INDEX(Sheet1!$F$2:$F$936,MATCH(H953,Sheet1!$C$2:$C$936,0)))</f>
        <v/>
      </c>
      <c r="M953">
        <v>1552275.0090000001</v>
      </c>
      <c r="N953">
        <v>2.0000000000000001E-4</v>
      </c>
    </row>
    <row r="954" spans="1:14" x14ac:dyDescent="0.35">
      <c r="A954" s="1">
        <v>45657</v>
      </c>
      <c r="B954" t="s">
        <v>14</v>
      </c>
      <c r="C954" t="s">
        <v>15</v>
      </c>
      <c r="D954" t="s">
        <v>1395</v>
      </c>
      <c r="E954">
        <v>1</v>
      </c>
      <c r="F954" t="s">
        <v>1401</v>
      </c>
      <c r="I954" t="str">
        <f>IF(ISBLANK(H954),"",INDEX(Sheet1!$F$2:$F$936,MATCH(H954,Sheet1!$C$2:$C$936,0)))</f>
        <v/>
      </c>
      <c r="M954">
        <v>6686963.5060000001</v>
      </c>
      <c r="N954">
        <v>8.9999999999999998E-4</v>
      </c>
    </row>
    <row r="955" spans="1:14" x14ac:dyDescent="0.35">
      <c r="A955" s="1">
        <v>45657</v>
      </c>
      <c r="B955" t="s">
        <v>14</v>
      </c>
      <c r="C955" t="s">
        <v>15</v>
      </c>
      <c r="D955" t="s">
        <v>1395</v>
      </c>
      <c r="E955">
        <v>1</v>
      </c>
      <c r="F955" t="s">
        <v>1402</v>
      </c>
      <c r="I955" t="str">
        <f>IF(ISBLANK(H955),"",INDEX(Sheet1!$F$2:$F$936,MATCH(H955,Sheet1!$C$2:$C$936,0)))</f>
        <v/>
      </c>
      <c r="M955">
        <v>25082655.280000001</v>
      </c>
      <c r="N955">
        <v>3.4999999999999996E-3</v>
      </c>
    </row>
    <row r="956" spans="1:14" x14ac:dyDescent="0.35">
      <c r="A956" s="1">
        <v>45657</v>
      </c>
      <c r="B956" t="s">
        <v>14</v>
      </c>
      <c r="C956" t="s">
        <v>15</v>
      </c>
      <c r="D956" t="s">
        <v>1395</v>
      </c>
      <c r="E956">
        <v>1</v>
      </c>
      <c r="F956" t="s">
        <v>71</v>
      </c>
      <c r="I956" t="str">
        <f>IF(ISBLANK(H956),"",INDEX(Sheet1!$F$2:$F$936,MATCH(H956,Sheet1!$C$2:$C$936,0)))</f>
        <v/>
      </c>
      <c r="M956">
        <v>51461316.2346</v>
      </c>
      <c r="N956">
        <v>6.9999999999999993E-3</v>
      </c>
    </row>
    <row r="957" spans="1:14" x14ac:dyDescent="0.35">
      <c r="A957" s="1">
        <v>45657</v>
      </c>
      <c r="B957" t="s">
        <v>14</v>
      </c>
      <c r="C957" t="s">
        <v>15</v>
      </c>
      <c r="D957" t="s">
        <v>1403</v>
      </c>
      <c r="E957">
        <v>1</v>
      </c>
      <c r="F957" t="s">
        <v>1404</v>
      </c>
      <c r="H957" t="s">
        <v>1405</v>
      </c>
      <c r="I957" t="str">
        <f>IF(ISBLANK(H957),"",INDEX(Sheet1!$F$2:$F$936,MATCH(H957,Sheet1!$C$2:$C$936,0)))</f>
        <v>AUD</v>
      </c>
      <c r="J957">
        <v>746117</v>
      </c>
      <c r="M957">
        <v>839381.70849999995</v>
      </c>
      <c r="N957">
        <v>1E-4</v>
      </c>
    </row>
    <row r="958" spans="1:14" x14ac:dyDescent="0.35">
      <c r="A958" s="1">
        <v>45657</v>
      </c>
      <c r="B958" t="s">
        <v>14</v>
      </c>
      <c r="C958" t="s">
        <v>15</v>
      </c>
      <c r="D958" t="s">
        <v>1403</v>
      </c>
      <c r="E958">
        <v>1</v>
      </c>
      <c r="F958" t="s">
        <v>1406</v>
      </c>
      <c r="H958">
        <v>2062161</v>
      </c>
      <c r="I958" t="str">
        <f>IF(ISBLANK(H958),"",INDEX(Sheet1!$F$2:$F$936,MATCH(H958,Sheet1!$C$2:$C$936,0)))</f>
        <v>USD</v>
      </c>
      <c r="J958">
        <v>6374</v>
      </c>
      <c r="M958">
        <v>725136.81929999997</v>
      </c>
      <c r="N958">
        <v>1E-4</v>
      </c>
    </row>
    <row r="959" spans="1:14" x14ac:dyDescent="0.35">
      <c r="A959" s="1">
        <v>45657</v>
      </c>
      <c r="B959" t="s">
        <v>14</v>
      </c>
      <c r="C959" t="s">
        <v>15</v>
      </c>
      <c r="D959" t="s">
        <v>1403</v>
      </c>
      <c r="E959">
        <v>1</v>
      </c>
      <c r="F959" t="s">
        <v>1407</v>
      </c>
      <c r="H959" t="s">
        <v>1408</v>
      </c>
      <c r="I959" t="str">
        <f>IF(ISBLANK(H959),"",INDEX(Sheet1!$F$2:$F$936,MATCH(H959,Sheet1!$C$2:$C$936,0)))</f>
        <v>AU</v>
      </c>
      <c r="J959">
        <v>168337</v>
      </c>
      <c r="M959">
        <v>488176.27799999999</v>
      </c>
      <c r="N959">
        <v>1E-4</v>
      </c>
    </row>
    <row r="960" spans="1:14" x14ac:dyDescent="0.35">
      <c r="A960" s="1">
        <v>45657</v>
      </c>
      <c r="B960" t="s">
        <v>14</v>
      </c>
      <c r="C960" t="s">
        <v>15</v>
      </c>
      <c r="D960" t="s">
        <v>1403</v>
      </c>
      <c r="E960">
        <v>1</v>
      </c>
      <c r="F960" t="s">
        <v>1409</v>
      </c>
      <c r="H960" t="s">
        <v>1410</v>
      </c>
      <c r="I960" t="str">
        <f>IF(ISBLANK(H960),"",INDEX(Sheet1!$F$2:$F$936,MATCH(H960,Sheet1!$C$2:$C$936,0)))</f>
        <v>AUD</v>
      </c>
      <c r="J960">
        <v>486554</v>
      </c>
      <c r="M960">
        <v>1892695.297</v>
      </c>
      <c r="N960">
        <v>2.9999999999999997E-4</v>
      </c>
    </row>
    <row r="961" spans="1:14" x14ac:dyDescent="0.35">
      <c r="A961" s="1">
        <v>45657</v>
      </c>
      <c r="B961" t="s">
        <v>14</v>
      </c>
      <c r="C961" t="s">
        <v>15</v>
      </c>
      <c r="D961" t="s">
        <v>1403</v>
      </c>
      <c r="E961">
        <v>1</v>
      </c>
      <c r="F961" t="s">
        <v>1411</v>
      </c>
      <c r="H961">
        <v>2131179</v>
      </c>
      <c r="I961" t="str">
        <f>IF(ISBLANK(H961),"",INDEX(Sheet1!$F$2:$F$936,MATCH(H961,Sheet1!$C$2:$C$936,0)))</f>
        <v>USD</v>
      </c>
      <c r="J961">
        <v>814</v>
      </c>
      <c r="M961">
        <v>289303.7524</v>
      </c>
      <c r="N961">
        <v>0</v>
      </c>
    </row>
    <row r="962" spans="1:14" x14ac:dyDescent="0.35">
      <c r="A962" s="1">
        <v>45657</v>
      </c>
      <c r="B962" t="s">
        <v>14</v>
      </c>
      <c r="C962" t="s">
        <v>15</v>
      </c>
      <c r="D962" t="s">
        <v>1403</v>
      </c>
      <c r="E962">
        <v>1</v>
      </c>
      <c r="F962" t="s">
        <v>1412</v>
      </c>
      <c r="H962">
        <v>286941</v>
      </c>
      <c r="I962" t="str">
        <f>IF(ISBLANK(H962),"",INDEX(Sheet1!$F$2:$F$936,MATCH(H962,Sheet1!$C$2:$C$936,0)))</f>
        <v>GBP</v>
      </c>
      <c r="J962">
        <v>137827</v>
      </c>
      <c r="M962">
        <v>2676415.6</v>
      </c>
      <c r="N962">
        <v>4.0000000000000002E-4</v>
      </c>
    </row>
    <row r="963" spans="1:14" x14ac:dyDescent="0.35">
      <c r="A963" s="1">
        <v>45657</v>
      </c>
      <c r="B963" t="s">
        <v>14</v>
      </c>
      <c r="C963" t="s">
        <v>15</v>
      </c>
      <c r="D963" t="s">
        <v>1403</v>
      </c>
      <c r="E963">
        <v>1</v>
      </c>
      <c r="F963" t="s">
        <v>1413</v>
      </c>
      <c r="H963">
        <v>136701</v>
      </c>
      <c r="I963" t="str">
        <f>IF(ISBLANK(H963),"",INDEX(Sheet1!$F$2:$F$936,MATCH(H963,Sheet1!$C$2:$C$936,0)))</f>
        <v>GBP</v>
      </c>
      <c r="J963">
        <v>118289</v>
      </c>
      <c r="M963">
        <v>861855.41899999999</v>
      </c>
      <c r="N963">
        <v>1E-4</v>
      </c>
    </row>
    <row r="964" spans="1:14" x14ac:dyDescent="0.35">
      <c r="A964" s="1">
        <v>45657</v>
      </c>
      <c r="B964" t="s">
        <v>14</v>
      </c>
      <c r="C964" t="s">
        <v>15</v>
      </c>
      <c r="D964" t="s">
        <v>1403</v>
      </c>
      <c r="E964">
        <v>1</v>
      </c>
      <c r="F964" t="s">
        <v>1414</v>
      </c>
      <c r="H964">
        <v>6127453</v>
      </c>
      <c r="I964" t="str">
        <f>IF(ISBLANK(H964),"",INDEX(Sheet1!$F$2:$F$936,MATCH(H964,Sheet1!$C$2:$C$936,0)))</f>
        <v>AUD</v>
      </c>
      <c r="J964">
        <v>813589</v>
      </c>
      <c r="M964">
        <v>2668570.7390000001</v>
      </c>
      <c r="N964">
        <v>4.0000000000000002E-4</v>
      </c>
    </row>
    <row r="965" spans="1:14" x14ac:dyDescent="0.35">
      <c r="A965" s="1">
        <v>45657</v>
      </c>
      <c r="B965" t="s">
        <v>14</v>
      </c>
      <c r="C965" t="s">
        <v>15</v>
      </c>
      <c r="D965" t="s">
        <v>1403</v>
      </c>
      <c r="E965">
        <v>1</v>
      </c>
      <c r="F965" t="s">
        <v>1415</v>
      </c>
      <c r="H965">
        <v>2019479</v>
      </c>
      <c r="I965" t="str">
        <f>IF(ISBLANK(H965),"",INDEX(Sheet1!$F$2:$F$936,MATCH(H965,Sheet1!$C$2:$C$936,0)))</f>
        <v>USD</v>
      </c>
      <c r="J965">
        <v>4654</v>
      </c>
      <c r="M965">
        <v>559433.12060000002</v>
      </c>
      <c r="N965">
        <v>1E-4</v>
      </c>
    </row>
    <row r="966" spans="1:14" x14ac:dyDescent="0.35">
      <c r="A966" s="1">
        <v>45657</v>
      </c>
      <c r="B966" t="s">
        <v>14</v>
      </c>
      <c r="C966" t="s">
        <v>15</v>
      </c>
      <c r="D966" t="s">
        <v>1403</v>
      </c>
      <c r="E966">
        <v>1</v>
      </c>
      <c r="F966" t="s">
        <v>1416</v>
      </c>
      <c r="H966">
        <v>2117599</v>
      </c>
      <c r="I966" t="str">
        <f>IF(ISBLANK(H966),"",INDEX(Sheet1!$F$2:$F$936,MATCH(H966,Sheet1!$C$2:$C$936,0)))</f>
        <v>CAD</v>
      </c>
      <c r="J966">
        <v>35374</v>
      </c>
      <c r="M966">
        <v>1691922.6910000001</v>
      </c>
      <c r="N966">
        <v>2.0000000000000001E-4</v>
      </c>
    </row>
    <row r="967" spans="1:14" x14ac:dyDescent="0.35">
      <c r="A967" s="1">
        <v>45657</v>
      </c>
      <c r="B967" t="s">
        <v>14</v>
      </c>
      <c r="C967" t="s">
        <v>15</v>
      </c>
      <c r="D967" t="s">
        <v>1403</v>
      </c>
      <c r="E967">
        <v>1</v>
      </c>
      <c r="F967" t="s">
        <v>1417</v>
      </c>
      <c r="H967">
        <v>6518745</v>
      </c>
      <c r="I967" t="str">
        <f>IF(ISBLANK(H967),"",INDEX(Sheet1!$F$2:$F$936,MATCH(H967,Sheet1!$C$2:$C$936,0)))</f>
        <v>Australia</v>
      </c>
      <c r="J967">
        <v>430268</v>
      </c>
      <c r="M967">
        <v>763725.04070000001</v>
      </c>
      <c r="N967">
        <v>1E-4</v>
      </c>
    </row>
    <row r="968" spans="1:14" x14ac:dyDescent="0.35">
      <c r="A968" s="1">
        <v>45657</v>
      </c>
      <c r="B968" t="s">
        <v>14</v>
      </c>
      <c r="C968" t="s">
        <v>15</v>
      </c>
      <c r="D968" t="s">
        <v>1403</v>
      </c>
      <c r="E968">
        <v>1</v>
      </c>
      <c r="F968" t="s">
        <v>1418</v>
      </c>
      <c r="H968" t="s">
        <v>1419</v>
      </c>
      <c r="I968" t="str">
        <f>IF(ISBLANK(H968),"",INDEX(Sheet1!$F$2:$F$936,MATCH(H968,Sheet1!$C$2:$C$936,0)))</f>
        <v>AUD</v>
      </c>
      <c r="J968">
        <v>576049</v>
      </c>
      <c r="M968">
        <v>1624459.5330000001</v>
      </c>
      <c r="N968">
        <v>2.0000000000000001E-4</v>
      </c>
    </row>
    <row r="969" spans="1:14" x14ac:dyDescent="0.35">
      <c r="A969" s="1">
        <v>45657</v>
      </c>
      <c r="B969" t="s">
        <v>14</v>
      </c>
      <c r="C969" t="s">
        <v>15</v>
      </c>
      <c r="D969" t="s">
        <v>1403</v>
      </c>
      <c r="E969">
        <v>1</v>
      </c>
      <c r="F969" t="s">
        <v>1420</v>
      </c>
      <c r="H969" t="s">
        <v>1421</v>
      </c>
      <c r="I969" t="str">
        <f>IF(ISBLANK(H969),"",INDEX(Sheet1!$F$2:$F$936,MATCH(H969,Sheet1!$C$2:$C$936,0)))</f>
        <v>AUD</v>
      </c>
      <c r="J969">
        <v>769803</v>
      </c>
      <c r="M969">
        <v>846783.70220000006</v>
      </c>
      <c r="N969">
        <v>1E-4</v>
      </c>
    </row>
    <row r="970" spans="1:14" x14ac:dyDescent="0.35">
      <c r="A970" s="1">
        <v>45657</v>
      </c>
      <c r="B970" t="s">
        <v>14</v>
      </c>
      <c r="C970" t="s">
        <v>15</v>
      </c>
      <c r="D970" t="s">
        <v>1403</v>
      </c>
      <c r="E970">
        <v>1</v>
      </c>
      <c r="F970" t="s">
        <v>1422</v>
      </c>
      <c r="H970" t="s">
        <v>1423</v>
      </c>
      <c r="I970" t="str">
        <f>IF(ISBLANK(H970),"",INDEX(Sheet1!$F$2:$F$936,MATCH(H970,Sheet1!$C$2:$C$936,0)))</f>
        <v>Australia</v>
      </c>
      <c r="J970">
        <v>903847</v>
      </c>
      <c r="M970">
        <v>12970203.09</v>
      </c>
      <c r="N970">
        <v>1.8E-3</v>
      </c>
    </row>
    <row r="971" spans="1:14" x14ac:dyDescent="0.35">
      <c r="A971" s="1">
        <v>45657</v>
      </c>
      <c r="B971" t="s">
        <v>14</v>
      </c>
      <c r="C971" t="s">
        <v>15</v>
      </c>
      <c r="D971" t="s">
        <v>1403</v>
      </c>
      <c r="E971">
        <v>1</v>
      </c>
      <c r="F971" t="s">
        <v>1424</v>
      </c>
      <c r="H971" t="s">
        <v>1425</v>
      </c>
      <c r="I971" t="str">
        <f>IF(ISBLANK(H971),"",INDEX(Sheet1!$F$2:$F$936,MATCH(H971,Sheet1!$C$2:$C$936,0)))</f>
        <v>AUD</v>
      </c>
      <c r="J971">
        <v>581103</v>
      </c>
      <c r="M971">
        <v>2173325.568</v>
      </c>
      <c r="N971">
        <v>2.9999999999999997E-4</v>
      </c>
    </row>
    <row r="972" spans="1:14" x14ac:dyDescent="0.35">
      <c r="A972" s="1">
        <v>45657</v>
      </c>
      <c r="B972" t="s">
        <v>14</v>
      </c>
      <c r="C972" t="s">
        <v>15</v>
      </c>
      <c r="D972" t="s">
        <v>1403</v>
      </c>
      <c r="E972">
        <v>1</v>
      </c>
      <c r="F972" t="s">
        <v>1426</v>
      </c>
      <c r="H972">
        <v>6225595</v>
      </c>
      <c r="I972" t="str">
        <f>IF(ISBLANK(H972),"",INDEX(Sheet1!$F$2:$F$936,MATCH(H972,Sheet1!$C$2:$C$936,0)))</f>
        <v>AUD</v>
      </c>
      <c r="J972">
        <v>65960</v>
      </c>
      <c r="M972">
        <v>207773.86420000001</v>
      </c>
      <c r="N972">
        <v>0</v>
      </c>
    </row>
    <row r="973" spans="1:14" x14ac:dyDescent="0.35">
      <c r="A973" s="1">
        <v>45657</v>
      </c>
      <c r="B973" t="s">
        <v>14</v>
      </c>
      <c r="C973" t="s">
        <v>15</v>
      </c>
      <c r="D973" t="s">
        <v>1403</v>
      </c>
      <c r="E973">
        <v>1</v>
      </c>
      <c r="F973" t="s">
        <v>1427</v>
      </c>
      <c r="H973" t="s">
        <v>1428</v>
      </c>
      <c r="I973" t="str">
        <f>IF(ISBLANK(H973),"",INDEX(Sheet1!$F$2:$F$936,MATCH(H973,Sheet1!$C$2:$C$936,0)))</f>
        <v>AUD</v>
      </c>
      <c r="J973">
        <v>293826</v>
      </c>
      <c r="M973">
        <v>755131.77659999998</v>
      </c>
      <c r="N973">
        <v>1E-4</v>
      </c>
    </row>
    <row r="974" spans="1:14" x14ac:dyDescent="0.35">
      <c r="A974" s="1">
        <v>45657</v>
      </c>
      <c r="B974" t="s">
        <v>14</v>
      </c>
      <c r="C974" t="s">
        <v>15</v>
      </c>
      <c r="D974" t="s">
        <v>1403</v>
      </c>
      <c r="E974">
        <v>1</v>
      </c>
      <c r="F974" t="s">
        <v>1429</v>
      </c>
      <c r="H974" t="s">
        <v>1430</v>
      </c>
      <c r="I974" t="str">
        <f>IF(ISBLANK(H974),"",INDEX(Sheet1!$F$2:$F$936,MATCH(H974,Sheet1!$C$2:$C$936,0)))</f>
        <v>USD</v>
      </c>
      <c r="J974">
        <v>37889</v>
      </c>
      <c r="M974">
        <v>1874410.997</v>
      </c>
      <c r="N974">
        <v>2.9999999999999997E-4</v>
      </c>
    </row>
    <row r="975" spans="1:14" x14ac:dyDescent="0.35">
      <c r="A975" s="1">
        <v>45657</v>
      </c>
      <c r="B975" t="s">
        <v>14</v>
      </c>
      <c r="C975" t="s">
        <v>15</v>
      </c>
      <c r="D975" t="s">
        <v>1403</v>
      </c>
      <c r="E975">
        <v>1</v>
      </c>
      <c r="F975" t="s">
        <v>1431</v>
      </c>
      <c r="H975">
        <v>7745638</v>
      </c>
      <c r="I975" t="str">
        <f>IF(ISBLANK(H975),"",INDEX(Sheet1!$F$2:$F$936,MATCH(H975,Sheet1!$C$2:$C$936,0)))</f>
        <v>EUR</v>
      </c>
      <c r="J975">
        <v>34378</v>
      </c>
      <c r="M975">
        <v>2803446.5320000001</v>
      </c>
      <c r="N975">
        <v>4.0000000000000002E-4</v>
      </c>
    </row>
    <row r="976" spans="1:14" x14ac:dyDescent="0.35">
      <c r="A976" s="1">
        <v>45657</v>
      </c>
      <c r="B976" t="s">
        <v>14</v>
      </c>
      <c r="C976" t="s">
        <v>15</v>
      </c>
      <c r="D976" t="s">
        <v>1403</v>
      </c>
      <c r="E976">
        <v>1</v>
      </c>
      <c r="F976" t="s">
        <v>1432</v>
      </c>
      <c r="H976">
        <v>6225476</v>
      </c>
      <c r="I976" t="str">
        <f>IF(ISBLANK(H976),"",INDEX(Sheet1!$F$2:$F$936,MATCH(H976,Sheet1!$C$2:$C$936,0)))</f>
        <v>AUD</v>
      </c>
      <c r="J976">
        <v>3866363</v>
      </c>
      <c r="M976">
        <v>1469218.0589999999</v>
      </c>
      <c r="N976">
        <v>2.0000000000000001E-4</v>
      </c>
    </row>
    <row r="977" spans="1:14" x14ac:dyDescent="0.35">
      <c r="A977" s="1">
        <v>45657</v>
      </c>
      <c r="B977" t="s">
        <v>14</v>
      </c>
      <c r="C977" t="s">
        <v>15</v>
      </c>
      <c r="D977" t="s">
        <v>1403</v>
      </c>
      <c r="E977">
        <v>1</v>
      </c>
      <c r="F977" t="s">
        <v>1433</v>
      </c>
      <c r="H977" t="s">
        <v>1434</v>
      </c>
      <c r="I977" t="str">
        <f>IF(ISBLANK(H977),"",INDEX(Sheet1!$F$2:$F$936,MATCH(H977,Sheet1!$C$2:$C$936,0)))</f>
        <v>US</v>
      </c>
      <c r="J977">
        <v>15967</v>
      </c>
      <c r="M977">
        <v>2340314.4870000002</v>
      </c>
      <c r="N977">
        <v>2.9999999999999997E-4</v>
      </c>
    </row>
    <row r="978" spans="1:14" x14ac:dyDescent="0.35">
      <c r="A978" s="1">
        <v>45657</v>
      </c>
      <c r="B978" t="s">
        <v>14</v>
      </c>
      <c r="C978" t="s">
        <v>15</v>
      </c>
      <c r="D978" t="s">
        <v>1403</v>
      </c>
      <c r="E978">
        <v>1</v>
      </c>
      <c r="F978" t="s">
        <v>1435</v>
      </c>
      <c r="H978" t="s">
        <v>1436</v>
      </c>
      <c r="I978" t="str">
        <f>IF(ISBLANK(H978),"",INDEX(Sheet1!$F$2:$F$936,MATCH(H978,Sheet1!$C$2:$C$936,0)))</f>
        <v>USD</v>
      </c>
      <c r="J978">
        <v>25927</v>
      </c>
      <c r="M978">
        <v>1793921.105</v>
      </c>
      <c r="N978">
        <v>2.0000000000000001E-4</v>
      </c>
    </row>
    <row r="979" spans="1:14" x14ac:dyDescent="0.35">
      <c r="A979" s="1">
        <v>45657</v>
      </c>
      <c r="B979" t="s">
        <v>14</v>
      </c>
      <c r="C979" t="s">
        <v>15</v>
      </c>
      <c r="D979" t="s">
        <v>1403</v>
      </c>
      <c r="E979">
        <v>1</v>
      </c>
      <c r="F979" t="s">
        <v>1437</v>
      </c>
      <c r="H979">
        <v>265274</v>
      </c>
      <c r="I979" t="str">
        <f>IF(ISBLANK(H979),"",INDEX(Sheet1!$F$2:$F$936,MATCH(H979,Sheet1!$C$2:$C$936,0)))</f>
        <v>GBP</v>
      </c>
      <c r="J979">
        <v>66748</v>
      </c>
      <c r="M979">
        <v>2644980.2740000002</v>
      </c>
      <c r="N979">
        <v>4.0000000000000002E-4</v>
      </c>
    </row>
    <row r="980" spans="1:14" x14ac:dyDescent="0.35">
      <c r="A980" s="1">
        <v>45657</v>
      </c>
      <c r="B980" t="s">
        <v>14</v>
      </c>
      <c r="C980" t="s">
        <v>15</v>
      </c>
      <c r="D980" t="s">
        <v>1403</v>
      </c>
      <c r="E980">
        <v>1</v>
      </c>
      <c r="F980" t="s">
        <v>1438</v>
      </c>
      <c r="H980" t="s">
        <v>1439</v>
      </c>
      <c r="I980" t="str">
        <f>IF(ISBLANK(H980),"",INDEX(Sheet1!$F$2:$F$936,MATCH(H980,Sheet1!$C$2:$C$936,0)))</f>
        <v>AUD</v>
      </c>
      <c r="J980">
        <v>471309</v>
      </c>
      <c r="M980">
        <v>1211264.754</v>
      </c>
      <c r="N980">
        <v>2.0000000000000001E-4</v>
      </c>
    </row>
    <row r="981" spans="1:14" x14ac:dyDescent="0.35">
      <c r="A981" s="1">
        <v>45657</v>
      </c>
      <c r="B981" t="s">
        <v>14</v>
      </c>
      <c r="C981" t="s">
        <v>15</v>
      </c>
      <c r="D981" t="s">
        <v>1403</v>
      </c>
      <c r="E981">
        <v>1</v>
      </c>
      <c r="F981" t="s">
        <v>1440</v>
      </c>
      <c r="H981" t="s">
        <v>1441</v>
      </c>
      <c r="I981" t="str">
        <f>IF(ISBLANK(H981),"",INDEX(Sheet1!$F$2:$F$936,MATCH(H981,Sheet1!$C$2:$C$936,0)))</f>
        <v>Australia</v>
      </c>
      <c r="J981">
        <v>392196</v>
      </c>
      <c r="M981">
        <v>2612028.1030000001</v>
      </c>
      <c r="N981">
        <v>4.0000000000000002E-4</v>
      </c>
    </row>
    <row r="982" spans="1:14" x14ac:dyDescent="0.35">
      <c r="A982" s="1">
        <v>45657</v>
      </c>
      <c r="B982" t="s">
        <v>14</v>
      </c>
      <c r="C982" t="s">
        <v>15</v>
      </c>
      <c r="D982" t="s">
        <v>1403</v>
      </c>
      <c r="E982">
        <v>1</v>
      </c>
      <c r="F982" t="s">
        <v>1442</v>
      </c>
      <c r="H982" t="s">
        <v>1443</v>
      </c>
      <c r="I982" t="str">
        <f>IF(ISBLANK(H982),"",INDEX(Sheet1!$F$2:$F$936,MATCH(H982,Sheet1!$C$2:$C$936,0)))</f>
        <v>USD</v>
      </c>
      <c r="J982">
        <v>28663</v>
      </c>
      <c r="M982">
        <v>8207865.2379999999</v>
      </c>
      <c r="N982">
        <v>1.1000000000000001E-3</v>
      </c>
    </row>
    <row r="983" spans="1:14" x14ac:dyDescent="0.35">
      <c r="A983" s="1">
        <v>45657</v>
      </c>
      <c r="B983" t="s">
        <v>14</v>
      </c>
      <c r="C983" t="s">
        <v>15</v>
      </c>
      <c r="D983" t="s">
        <v>1403</v>
      </c>
      <c r="E983">
        <v>1</v>
      </c>
      <c r="F983" t="s">
        <v>1444</v>
      </c>
      <c r="H983" t="s">
        <v>1445</v>
      </c>
      <c r="I983" t="str">
        <f>IF(ISBLANK(H983),"",INDEX(Sheet1!$F$2:$F$936,MATCH(H983,Sheet1!$C$2:$C$936,0)))</f>
        <v>USD</v>
      </c>
      <c r="J983">
        <v>5560</v>
      </c>
      <c r="M983">
        <v>8465509.0089999996</v>
      </c>
      <c r="N983">
        <v>1.1999999999999999E-3</v>
      </c>
    </row>
    <row r="984" spans="1:14" x14ac:dyDescent="0.35">
      <c r="A984" s="1">
        <v>45657</v>
      </c>
      <c r="B984" t="s">
        <v>14</v>
      </c>
      <c r="C984" t="s">
        <v>15</v>
      </c>
      <c r="D984" t="s">
        <v>1403</v>
      </c>
      <c r="E984">
        <v>1</v>
      </c>
      <c r="F984" t="s">
        <v>1446</v>
      </c>
      <c r="H984">
        <v>2563125</v>
      </c>
      <c r="I984" t="str">
        <f>IF(ISBLANK(H984),"",INDEX(Sheet1!$F$2:$F$936,MATCH(H984,Sheet1!$C$2:$C$936,0)))</f>
        <v>USD</v>
      </c>
      <c r="J984">
        <v>17633</v>
      </c>
      <c r="M984">
        <v>1895353.318</v>
      </c>
      <c r="N984">
        <v>2.9999999999999997E-4</v>
      </c>
    </row>
    <row r="985" spans="1:14" x14ac:dyDescent="0.35">
      <c r="A985" s="1">
        <v>45657</v>
      </c>
      <c r="B985" t="s">
        <v>14</v>
      </c>
      <c r="C985" t="s">
        <v>15</v>
      </c>
      <c r="D985" t="s">
        <v>1403</v>
      </c>
      <c r="E985">
        <v>1</v>
      </c>
      <c r="F985" t="s">
        <v>1447</v>
      </c>
      <c r="H985">
        <v>2319157</v>
      </c>
      <c r="I985" t="str">
        <f>IF(ISBLANK(H985),"",INDEX(Sheet1!$F$2:$F$936,MATCH(H985,Sheet1!$C$2:$C$936,0)))</f>
        <v>USD</v>
      </c>
      <c r="J985">
        <v>42421</v>
      </c>
      <c r="M985">
        <v>4918046.4270000001</v>
      </c>
      <c r="N985">
        <v>6.9999999999999891E-4</v>
      </c>
    </row>
    <row r="986" spans="1:14" x14ac:dyDescent="0.35">
      <c r="A986" s="1">
        <v>45657</v>
      </c>
      <c r="B986" t="s">
        <v>14</v>
      </c>
      <c r="C986" t="s">
        <v>15</v>
      </c>
      <c r="D986" t="s">
        <v>1403</v>
      </c>
      <c r="E986">
        <v>1</v>
      </c>
      <c r="F986" t="s">
        <v>1448</v>
      </c>
      <c r="H986" t="s">
        <v>1449</v>
      </c>
      <c r="I986" t="str">
        <f>IF(ISBLANK(H986),"",INDEX(Sheet1!$F$2:$F$936,MATCH(H986,Sheet1!$C$2:$C$936,0)))</f>
        <v>USD</v>
      </c>
      <c r="J986">
        <v>6006</v>
      </c>
      <c r="M986">
        <v>303117.4327</v>
      </c>
      <c r="N986">
        <v>0</v>
      </c>
    </row>
    <row r="987" spans="1:14" x14ac:dyDescent="0.35">
      <c r="A987" s="1">
        <v>45657</v>
      </c>
      <c r="B987" t="s">
        <v>14</v>
      </c>
      <c r="C987" t="s">
        <v>15</v>
      </c>
      <c r="D987" t="s">
        <v>1403</v>
      </c>
      <c r="E987">
        <v>1</v>
      </c>
      <c r="F987" t="s">
        <v>1450</v>
      </c>
      <c r="H987">
        <v>2316619</v>
      </c>
      <c r="I987" t="str">
        <f>IF(ISBLANK(H987),"",INDEX(Sheet1!$F$2:$F$936,MATCH(H987,Sheet1!$C$2:$C$936,0)))</f>
        <v>USD</v>
      </c>
      <c r="J987">
        <v>4588</v>
      </c>
      <c r="M987">
        <v>2116242.33</v>
      </c>
      <c r="N987">
        <v>2.9999999999999997E-4</v>
      </c>
    </row>
    <row r="988" spans="1:14" x14ac:dyDescent="0.35">
      <c r="A988" s="1">
        <v>45657</v>
      </c>
      <c r="B988" t="s">
        <v>14</v>
      </c>
      <c r="C988" t="s">
        <v>15</v>
      </c>
      <c r="D988" t="s">
        <v>1403</v>
      </c>
      <c r="E988">
        <v>1</v>
      </c>
      <c r="F988" t="s">
        <v>1451</v>
      </c>
      <c r="H988" t="s">
        <v>1452</v>
      </c>
      <c r="I988" t="str">
        <f>IF(ISBLANK(H988),"",INDEX(Sheet1!$F$2:$F$936,MATCH(H988,Sheet1!$C$2:$C$936,0)))</f>
        <v>USD</v>
      </c>
      <c r="J988">
        <v>2859</v>
      </c>
      <c r="M988">
        <v>690790.87309999997</v>
      </c>
      <c r="N988">
        <v>1E-4</v>
      </c>
    </row>
    <row r="989" spans="1:14" x14ac:dyDescent="0.35">
      <c r="A989" s="1">
        <v>45657</v>
      </c>
      <c r="B989" t="s">
        <v>14</v>
      </c>
      <c r="C989" t="s">
        <v>15</v>
      </c>
      <c r="D989" t="s">
        <v>1403</v>
      </c>
      <c r="E989">
        <v>1</v>
      </c>
      <c r="F989" t="s">
        <v>1453</v>
      </c>
      <c r="H989" t="s">
        <v>1454</v>
      </c>
      <c r="I989" t="str">
        <f>IF(ISBLANK(H989),"",INDEX(Sheet1!$F$2:$F$936,MATCH(H989,Sheet1!$C$2:$C$936,0)))</f>
        <v>US</v>
      </c>
      <c r="J989">
        <v>29768</v>
      </c>
      <c r="M989">
        <v>5381050.5760000004</v>
      </c>
      <c r="N989">
        <v>6.9999999999999891E-4</v>
      </c>
    </row>
    <row r="990" spans="1:14" x14ac:dyDescent="0.35">
      <c r="A990" s="1">
        <v>45657</v>
      </c>
      <c r="B990" t="s">
        <v>14</v>
      </c>
      <c r="C990" t="s">
        <v>15</v>
      </c>
      <c r="D990" t="s">
        <v>1403</v>
      </c>
      <c r="E990">
        <v>1</v>
      </c>
      <c r="F990" t="s">
        <v>1455</v>
      </c>
      <c r="H990" t="s">
        <v>1456</v>
      </c>
      <c r="I990" t="str">
        <f>IF(ISBLANK(H990),"",INDEX(Sheet1!$F$2:$F$936,MATCH(H990,Sheet1!$C$2:$C$936,0)))</f>
        <v>MXN</v>
      </c>
      <c r="J990">
        <v>469158</v>
      </c>
      <c r="M990">
        <v>754000.81819999998</v>
      </c>
      <c r="N990">
        <v>1E-4</v>
      </c>
    </row>
    <row r="991" spans="1:14" x14ac:dyDescent="0.35">
      <c r="A991" s="1">
        <v>45657</v>
      </c>
      <c r="B991" t="s">
        <v>14</v>
      </c>
      <c r="C991" t="s">
        <v>15</v>
      </c>
      <c r="D991" t="s">
        <v>1403</v>
      </c>
      <c r="E991">
        <v>1</v>
      </c>
      <c r="F991" t="s">
        <v>1457</v>
      </c>
      <c r="H991" t="s">
        <v>1458</v>
      </c>
      <c r="I991" t="str">
        <f>IF(ISBLANK(H991),"",INDEX(Sheet1!$F$2:$F$936,MATCH(H991,Sheet1!$C$2:$C$936,0)))</f>
        <v>AUD</v>
      </c>
      <c r="J991">
        <v>344005</v>
      </c>
      <c r="M991">
        <v>197803.0913</v>
      </c>
      <c r="N991">
        <v>0</v>
      </c>
    </row>
    <row r="992" spans="1:14" x14ac:dyDescent="0.35">
      <c r="A992" s="1">
        <v>45657</v>
      </c>
      <c r="B992" t="s">
        <v>14</v>
      </c>
      <c r="C992" t="s">
        <v>15</v>
      </c>
      <c r="D992" t="s">
        <v>1403</v>
      </c>
      <c r="E992">
        <v>1</v>
      </c>
      <c r="F992" t="s">
        <v>1459</v>
      </c>
      <c r="H992" t="s">
        <v>1460</v>
      </c>
      <c r="I992" t="str">
        <f>IF(ISBLANK(H992),"",INDEX(Sheet1!$F$2:$F$936,MATCH(H992,Sheet1!$C$2:$C$936,0)))</f>
        <v>Australia</v>
      </c>
      <c r="J992">
        <v>1139839</v>
      </c>
      <c r="M992">
        <v>40555482.670000002</v>
      </c>
      <c r="N992">
        <v>5.5999999999999904E-3</v>
      </c>
    </row>
    <row r="993" spans="1:14" x14ac:dyDescent="0.35">
      <c r="A993" s="1">
        <v>45657</v>
      </c>
      <c r="B993" t="s">
        <v>14</v>
      </c>
      <c r="C993" t="s">
        <v>15</v>
      </c>
      <c r="D993" t="s">
        <v>1403</v>
      </c>
      <c r="E993">
        <v>1</v>
      </c>
      <c r="F993" t="s">
        <v>1461</v>
      </c>
      <c r="H993">
        <v>6365866</v>
      </c>
      <c r="I993" t="str">
        <f>IF(ISBLANK(H993),"",INDEX(Sheet1!$F$2:$F$936,MATCH(H993,Sheet1!$C$2:$C$936,0)))</f>
        <v>Australia</v>
      </c>
      <c r="J993">
        <v>826860</v>
      </c>
      <c r="M993">
        <v>3613377.361</v>
      </c>
      <c r="N993">
        <v>5.0000000000000001E-4</v>
      </c>
    </row>
    <row r="994" spans="1:14" x14ac:dyDescent="0.35">
      <c r="A994" s="1">
        <v>45657</v>
      </c>
      <c r="B994" t="s">
        <v>14</v>
      </c>
      <c r="C994" t="s">
        <v>15</v>
      </c>
      <c r="D994" t="s">
        <v>1403</v>
      </c>
      <c r="E994">
        <v>1</v>
      </c>
      <c r="F994" t="s">
        <v>1462</v>
      </c>
      <c r="H994" t="s">
        <v>1463</v>
      </c>
      <c r="I994" t="str">
        <f>IF(ISBLANK(H994),"",INDEX(Sheet1!$F$2:$F$936,MATCH(H994,Sheet1!$C$2:$C$936,0)))</f>
        <v>AUD</v>
      </c>
      <c r="J994">
        <v>1344801</v>
      </c>
      <c r="M994">
        <v>3200626.159</v>
      </c>
      <c r="N994">
        <v>4.0000000000000002E-4</v>
      </c>
    </row>
    <row r="995" spans="1:14" x14ac:dyDescent="0.35">
      <c r="A995" s="1">
        <v>45657</v>
      </c>
      <c r="B995" t="s">
        <v>14</v>
      </c>
      <c r="C995" t="s">
        <v>15</v>
      </c>
      <c r="D995" t="s">
        <v>1403</v>
      </c>
      <c r="E995">
        <v>1</v>
      </c>
      <c r="F995" t="s">
        <v>1464</v>
      </c>
      <c r="H995" t="s">
        <v>1465</v>
      </c>
      <c r="I995" t="str">
        <f>IF(ISBLANK(H995),"",INDEX(Sheet1!$F$2:$F$936,MATCH(H995,Sheet1!$C$2:$C$936,0)))</f>
        <v>USD</v>
      </c>
      <c r="J995">
        <v>54531</v>
      </c>
      <c r="M995">
        <v>1786128.2760000001</v>
      </c>
      <c r="N995">
        <v>2.0000000000000001E-4</v>
      </c>
    </row>
    <row r="996" spans="1:14" x14ac:dyDescent="0.35">
      <c r="A996" s="1">
        <v>45657</v>
      </c>
      <c r="B996" t="s">
        <v>14</v>
      </c>
      <c r="C996" t="s">
        <v>15</v>
      </c>
      <c r="D996" t="s">
        <v>1403</v>
      </c>
      <c r="E996">
        <v>1</v>
      </c>
      <c r="F996" t="s">
        <v>1466</v>
      </c>
      <c r="H996" t="s">
        <v>1467</v>
      </c>
      <c r="I996" t="str">
        <f>IF(ISBLANK(H996),"",INDEX(Sheet1!$F$2:$F$936,MATCH(H996,Sheet1!$C$2:$C$936,0)))</f>
        <v>AUD</v>
      </c>
      <c r="J996">
        <v>839243</v>
      </c>
      <c r="M996">
        <v>960933.74820000003</v>
      </c>
      <c r="N996">
        <v>1E-4</v>
      </c>
    </row>
    <row r="997" spans="1:14" x14ac:dyDescent="0.35">
      <c r="A997" s="1">
        <v>45657</v>
      </c>
      <c r="B997" t="s">
        <v>14</v>
      </c>
      <c r="C997" t="s">
        <v>15</v>
      </c>
      <c r="D997" t="s">
        <v>1403</v>
      </c>
      <c r="E997">
        <v>1</v>
      </c>
      <c r="F997" t="s">
        <v>1468</v>
      </c>
      <c r="H997">
        <v>2567503</v>
      </c>
      <c r="I997" t="str">
        <f>IF(ISBLANK(H997),"",INDEX(Sheet1!$F$2:$F$936,MATCH(H997,Sheet1!$C$2:$C$936,0)))</f>
        <v>USD</v>
      </c>
      <c r="J997">
        <v>45487</v>
      </c>
      <c r="M997">
        <v>1285667.8929999999</v>
      </c>
      <c r="N997">
        <v>2.0000000000000001E-4</v>
      </c>
    </row>
    <row r="998" spans="1:14" x14ac:dyDescent="0.35">
      <c r="A998" s="1">
        <v>45657</v>
      </c>
      <c r="B998" t="s">
        <v>14</v>
      </c>
      <c r="C998" t="s">
        <v>15</v>
      </c>
      <c r="D998" t="s">
        <v>1403</v>
      </c>
      <c r="E998">
        <v>1</v>
      </c>
      <c r="F998" t="s">
        <v>1469</v>
      </c>
      <c r="H998" t="s">
        <v>1470</v>
      </c>
      <c r="I998" t="str">
        <f>IF(ISBLANK(H998),"",INDEX(Sheet1!$F$2:$F$936,MATCH(H998,Sheet1!$C$2:$C$936,0)))</f>
        <v>AUD</v>
      </c>
      <c r="J998">
        <v>357204</v>
      </c>
      <c r="M998">
        <v>1339516.216</v>
      </c>
      <c r="N998">
        <v>2.0000000000000001E-4</v>
      </c>
    </row>
    <row r="999" spans="1:14" x14ac:dyDescent="0.35">
      <c r="A999" s="1">
        <v>45657</v>
      </c>
      <c r="B999" t="s">
        <v>14</v>
      </c>
      <c r="C999" t="s">
        <v>15</v>
      </c>
      <c r="D999" t="s">
        <v>1403</v>
      </c>
      <c r="E999">
        <v>1</v>
      </c>
      <c r="F999" t="s">
        <v>1471</v>
      </c>
      <c r="H999" t="s">
        <v>1472</v>
      </c>
      <c r="I999" t="str">
        <f>IF(ISBLANK(H999),"",INDEX(Sheet1!$F$2:$F$936,MATCH(H999,Sheet1!$C$2:$C$936,0)))</f>
        <v>AUD</v>
      </c>
      <c r="J999">
        <v>428383</v>
      </c>
      <c r="M999">
        <v>1961992.014</v>
      </c>
      <c r="N999">
        <v>2.9999999999999997E-4</v>
      </c>
    </row>
    <row r="1000" spans="1:14" x14ac:dyDescent="0.35">
      <c r="A1000" s="1">
        <v>45657</v>
      </c>
      <c r="B1000" t="s">
        <v>14</v>
      </c>
      <c r="C1000" t="s">
        <v>15</v>
      </c>
      <c r="D1000" t="s">
        <v>1403</v>
      </c>
      <c r="E1000">
        <v>1</v>
      </c>
      <c r="F1000" t="s">
        <v>1473</v>
      </c>
      <c r="H1000" t="s">
        <v>1474</v>
      </c>
      <c r="I1000" t="str">
        <f>IF(ISBLANK(H1000),"",INDEX(Sheet1!$F$2:$F$936,MATCH(H1000,Sheet1!$C$2:$C$936,0)))</f>
        <v>USD</v>
      </c>
      <c r="J1000">
        <v>46249</v>
      </c>
      <c r="M1000">
        <v>2387330.966</v>
      </c>
      <c r="N1000">
        <v>2.9999999999999997E-4</v>
      </c>
    </row>
    <row r="1001" spans="1:14" x14ac:dyDescent="0.35">
      <c r="A1001" s="1">
        <v>45657</v>
      </c>
      <c r="B1001" t="s">
        <v>14</v>
      </c>
      <c r="C1001" t="s">
        <v>15</v>
      </c>
      <c r="D1001" t="s">
        <v>1403</v>
      </c>
      <c r="E1001">
        <v>1</v>
      </c>
      <c r="F1001" t="s">
        <v>1475</v>
      </c>
      <c r="H1001" t="s">
        <v>1476</v>
      </c>
      <c r="I1001" t="str">
        <f>IF(ISBLANK(H1001),"",INDEX(Sheet1!$F$2:$F$936,MATCH(H1001,Sheet1!$C$2:$C$936,0)))</f>
        <v>USD</v>
      </c>
      <c r="J1001">
        <v>1415</v>
      </c>
      <c r="M1001">
        <v>240259.9235</v>
      </c>
      <c r="N1001">
        <v>0</v>
      </c>
    </row>
    <row r="1002" spans="1:14" x14ac:dyDescent="0.35">
      <c r="A1002" s="1">
        <v>45657</v>
      </c>
      <c r="B1002" t="s">
        <v>14</v>
      </c>
      <c r="C1002" t="s">
        <v>15</v>
      </c>
      <c r="D1002" t="s">
        <v>1403</v>
      </c>
      <c r="E1002">
        <v>1</v>
      </c>
      <c r="F1002" t="s">
        <v>1477</v>
      </c>
      <c r="H1002">
        <v>2495529</v>
      </c>
      <c r="I1002" t="str">
        <f>IF(ISBLANK(H1002),"",INDEX(Sheet1!$F$2:$F$936,MATCH(H1002,Sheet1!$C$2:$C$936,0)))</f>
        <v>USD</v>
      </c>
      <c r="J1002">
        <v>38601</v>
      </c>
      <c r="M1002">
        <v>2521853.2579999999</v>
      </c>
      <c r="N1002">
        <v>2.9999999999999997E-4</v>
      </c>
    </row>
    <row r="1003" spans="1:14" x14ac:dyDescent="0.35">
      <c r="A1003" s="1">
        <v>45657</v>
      </c>
      <c r="B1003" t="s">
        <v>14</v>
      </c>
      <c r="C1003" t="s">
        <v>15</v>
      </c>
      <c r="D1003" t="s">
        <v>1403</v>
      </c>
      <c r="E1003">
        <v>1</v>
      </c>
      <c r="F1003" t="s">
        <v>1478</v>
      </c>
      <c r="H1003">
        <v>2491594</v>
      </c>
      <c r="I1003" t="str">
        <f>IF(ISBLANK(H1003),"",INDEX(Sheet1!$F$2:$F$936,MATCH(H1003,Sheet1!$C$2:$C$936,0)))</f>
        <v>USD</v>
      </c>
      <c r="J1003">
        <v>148120</v>
      </c>
      <c r="M1003">
        <v>5605193.5669999998</v>
      </c>
      <c r="N1003">
        <v>8.0000000000000004E-4</v>
      </c>
    </row>
    <row r="1004" spans="1:14" x14ac:dyDescent="0.35">
      <c r="A1004" s="1">
        <v>45657</v>
      </c>
      <c r="B1004" t="s">
        <v>14</v>
      </c>
      <c r="C1004" t="s">
        <v>15</v>
      </c>
      <c r="D1004" t="s">
        <v>1403</v>
      </c>
      <c r="E1004">
        <v>1</v>
      </c>
      <c r="F1004" t="s">
        <v>1479</v>
      </c>
      <c r="H1004">
        <v>7582556</v>
      </c>
      <c r="I1004" t="str">
        <f>IF(ISBLANK(H1004),"",INDEX(Sheet1!$F$2:$F$936,MATCH(H1004,Sheet1!$C$2:$C$936,0)))</f>
        <v>EUR</v>
      </c>
      <c r="J1004">
        <v>95150</v>
      </c>
      <c r="M1004">
        <v>4423946.9170000004</v>
      </c>
      <c r="N1004">
        <v>5.9999999999999995E-4</v>
      </c>
    </row>
    <row r="1005" spans="1:14" x14ac:dyDescent="0.35">
      <c r="A1005" s="1">
        <v>45657</v>
      </c>
      <c r="B1005" t="s">
        <v>14</v>
      </c>
      <c r="C1005" t="s">
        <v>15</v>
      </c>
      <c r="D1005" t="s">
        <v>1403</v>
      </c>
      <c r="E1005">
        <v>1</v>
      </c>
      <c r="F1005" t="s">
        <v>1480</v>
      </c>
      <c r="H1005" t="s">
        <v>1481</v>
      </c>
      <c r="I1005" t="str">
        <f>IF(ISBLANK(H1005),"",INDEX(Sheet1!$F$2:$F$936,MATCH(H1005,Sheet1!$C$2:$C$936,0)))</f>
        <v>GBP</v>
      </c>
      <c r="J1005">
        <v>63642</v>
      </c>
      <c r="M1005">
        <v>751802.95440000005</v>
      </c>
      <c r="N1005">
        <v>1E-4</v>
      </c>
    </row>
    <row r="1006" spans="1:14" x14ac:dyDescent="0.35">
      <c r="A1006" s="1">
        <v>45657</v>
      </c>
      <c r="B1006" t="s">
        <v>14</v>
      </c>
      <c r="C1006" t="s">
        <v>15</v>
      </c>
      <c r="D1006" t="s">
        <v>1403</v>
      </c>
      <c r="E1006">
        <v>1</v>
      </c>
      <c r="F1006" t="s">
        <v>1482</v>
      </c>
      <c r="H1006">
        <v>6512004</v>
      </c>
      <c r="I1006" t="str">
        <f>IF(ISBLANK(H1006),"",INDEX(Sheet1!$F$2:$F$936,MATCH(H1006,Sheet1!$C$2:$C$936,0)))</f>
        <v>Australia</v>
      </c>
      <c r="J1006">
        <v>294161</v>
      </c>
      <c r="M1006">
        <v>1832623.6040000001</v>
      </c>
      <c r="N1006">
        <v>2.9999999999999997E-4</v>
      </c>
    </row>
    <row r="1007" spans="1:14" x14ac:dyDescent="0.35">
      <c r="A1007" s="1">
        <v>45657</v>
      </c>
      <c r="B1007" t="s">
        <v>14</v>
      </c>
      <c r="C1007" t="s">
        <v>15</v>
      </c>
      <c r="D1007" t="s">
        <v>1403</v>
      </c>
      <c r="E1007">
        <v>1</v>
      </c>
      <c r="F1007" t="s">
        <v>1483</v>
      </c>
      <c r="H1007">
        <v>6161978</v>
      </c>
      <c r="I1007" t="str">
        <f>IF(ISBLANK(H1007),"",INDEX(Sheet1!$F$2:$F$936,MATCH(H1007,Sheet1!$C$2:$C$936,0)))</f>
        <v>Australia</v>
      </c>
      <c r="J1007">
        <v>1805659</v>
      </c>
      <c r="M1007">
        <v>3385610.8939999999</v>
      </c>
      <c r="N1007">
        <v>5.0000000000000001E-4</v>
      </c>
    </row>
    <row r="1008" spans="1:14" x14ac:dyDescent="0.35">
      <c r="A1008" s="1">
        <v>45657</v>
      </c>
      <c r="B1008" t="s">
        <v>14</v>
      </c>
      <c r="C1008" t="s">
        <v>15</v>
      </c>
      <c r="D1008" t="s">
        <v>1403</v>
      </c>
      <c r="E1008">
        <v>1</v>
      </c>
      <c r="F1008" t="s">
        <v>1484</v>
      </c>
      <c r="H1008" t="s">
        <v>1485</v>
      </c>
      <c r="I1008" t="str">
        <f>IF(ISBLANK(H1008),"",INDEX(Sheet1!$F$2:$F$936,MATCH(H1008,Sheet1!$C$2:$C$936,0)))</f>
        <v>AUD</v>
      </c>
      <c r="J1008">
        <v>830777</v>
      </c>
      <c r="M1008">
        <v>1944018.564</v>
      </c>
      <c r="N1008">
        <v>2.9999999999999997E-4</v>
      </c>
    </row>
    <row r="1009" spans="1:14" x14ac:dyDescent="0.35">
      <c r="A1009" s="1">
        <v>45657</v>
      </c>
      <c r="B1009" t="s">
        <v>14</v>
      </c>
      <c r="C1009" t="s">
        <v>15</v>
      </c>
      <c r="D1009" t="s">
        <v>1403</v>
      </c>
      <c r="E1009">
        <v>1</v>
      </c>
      <c r="F1009" t="s">
        <v>1486</v>
      </c>
      <c r="H1009" t="s">
        <v>1487</v>
      </c>
      <c r="I1009" t="str">
        <f>IF(ISBLANK(H1009),"",INDEX(Sheet1!$F$2:$F$936,MATCH(H1009,Sheet1!$C$2:$C$936,0)))</f>
        <v>USD</v>
      </c>
      <c r="J1009">
        <v>23060</v>
      </c>
      <c r="M1009">
        <v>3937176.5860000001</v>
      </c>
      <c r="N1009">
        <v>5.0000000000000001E-4</v>
      </c>
    </row>
    <row r="1010" spans="1:14" x14ac:dyDescent="0.35">
      <c r="A1010" s="1">
        <v>45657</v>
      </c>
      <c r="B1010" t="s">
        <v>14</v>
      </c>
      <c r="C1010" t="s">
        <v>15</v>
      </c>
      <c r="D1010" t="s">
        <v>1403</v>
      </c>
      <c r="E1010">
        <v>1</v>
      </c>
      <c r="F1010" t="s">
        <v>1488</v>
      </c>
      <c r="H1010" t="s">
        <v>1489</v>
      </c>
      <c r="I1010" t="str">
        <f>IF(ISBLANK(H1010),"",INDEX(Sheet1!$F$2:$F$936,MATCH(H1010,Sheet1!$C$2:$C$936,0)))</f>
        <v>AUD</v>
      </c>
      <c r="J1010">
        <v>24171</v>
      </c>
      <c r="M1010">
        <v>14381.643</v>
      </c>
      <c r="N1010">
        <v>0</v>
      </c>
    </row>
    <row r="1011" spans="1:14" x14ac:dyDescent="0.35">
      <c r="A1011" s="1">
        <v>45657</v>
      </c>
      <c r="B1011" t="s">
        <v>14</v>
      </c>
      <c r="C1011" t="s">
        <v>15</v>
      </c>
      <c r="D1011" t="s">
        <v>1403</v>
      </c>
      <c r="E1011">
        <v>1</v>
      </c>
      <c r="F1011" t="s">
        <v>1490</v>
      </c>
      <c r="H1011" t="s">
        <v>1491</v>
      </c>
      <c r="I1011" t="str">
        <f>IF(ISBLANK(H1011),"",INDEX(Sheet1!$F$2:$F$936,MATCH(H1011,Sheet1!$C$2:$C$936,0)))</f>
        <v>AUD</v>
      </c>
      <c r="J1011">
        <v>3254109</v>
      </c>
      <c r="M1011">
        <v>6736005.0140000004</v>
      </c>
      <c r="N1011">
        <v>8.9999999999999998E-4</v>
      </c>
    </row>
    <row r="1012" spans="1:14" x14ac:dyDescent="0.35">
      <c r="A1012" s="1">
        <v>45657</v>
      </c>
      <c r="B1012" t="s">
        <v>14</v>
      </c>
      <c r="C1012" t="s">
        <v>15</v>
      </c>
      <c r="D1012" t="s">
        <v>1403</v>
      </c>
      <c r="E1012">
        <v>1</v>
      </c>
      <c r="F1012" t="s">
        <v>1492</v>
      </c>
      <c r="H1012" t="s">
        <v>1493</v>
      </c>
      <c r="I1012" t="str">
        <f>IF(ISBLANK(H1012),"",INDEX(Sheet1!$F$2:$F$936,MATCH(H1012,Sheet1!$C$2:$C$936,0)))</f>
        <v>USD</v>
      </c>
      <c r="J1012">
        <v>11325</v>
      </c>
      <c r="M1012">
        <v>706958.55359999998</v>
      </c>
      <c r="N1012">
        <v>1E-4</v>
      </c>
    </row>
    <row r="1013" spans="1:14" x14ac:dyDescent="0.35">
      <c r="A1013" s="1">
        <v>45657</v>
      </c>
      <c r="B1013" t="s">
        <v>14</v>
      </c>
      <c r="C1013" t="s">
        <v>15</v>
      </c>
      <c r="D1013" t="s">
        <v>1403</v>
      </c>
      <c r="E1013">
        <v>1</v>
      </c>
      <c r="F1013" t="s">
        <v>1494</v>
      </c>
      <c r="H1013" t="s">
        <v>1495</v>
      </c>
      <c r="I1013" t="str">
        <f>IF(ISBLANK(H1013),"",INDEX(Sheet1!$F$2:$F$936,MATCH(H1013,Sheet1!$C$2:$C$936,0)))</f>
        <v>GBP</v>
      </c>
      <c r="J1013">
        <v>22361</v>
      </c>
      <c r="M1013">
        <v>291292.97230000002</v>
      </c>
      <c r="N1013">
        <v>0</v>
      </c>
    </row>
    <row r="1014" spans="1:14" x14ac:dyDescent="0.35">
      <c r="A1014" s="1">
        <v>45657</v>
      </c>
      <c r="B1014" t="s">
        <v>14</v>
      </c>
      <c r="C1014" t="s">
        <v>15</v>
      </c>
      <c r="D1014" t="s">
        <v>1403</v>
      </c>
      <c r="E1014">
        <v>1</v>
      </c>
      <c r="F1014" t="s">
        <v>1496</v>
      </c>
      <c r="H1014" t="s">
        <v>1497</v>
      </c>
      <c r="I1014" t="str">
        <f>IF(ISBLANK(H1014),"",INDEX(Sheet1!$F$2:$F$936,MATCH(H1014,Sheet1!$C$2:$C$936,0)))</f>
        <v>Australia</v>
      </c>
      <c r="J1014">
        <v>3087514</v>
      </c>
      <c r="M1014">
        <v>10590171.449999999</v>
      </c>
      <c r="N1014">
        <v>1.5E-3</v>
      </c>
    </row>
    <row r="1015" spans="1:14" x14ac:dyDescent="0.35">
      <c r="A1015" s="1">
        <v>45657</v>
      </c>
      <c r="B1015" t="s">
        <v>14</v>
      </c>
      <c r="C1015" t="s">
        <v>15</v>
      </c>
      <c r="D1015" t="s">
        <v>1403</v>
      </c>
      <c r="E1015">
        <v>1</v>
      </c>
      <c r="F1015" t="s">
        <v>1498</v>
      </c>
      <c r="H1015" t="s">
        <v>1499</v>
      </c>
      <c r="I1015" t="str">
        <f>IF(ISBLANK(H1015),"",INDEX(Sheet1!$F$2:$F$936,MATCH(H1015,Sheet1!$C$2:$C$936,0)))</f>
        <v>GBP</v>
      </c>
      <c r="J1015">
        <v>422511</v>
      </c>
      <c r="M1015">
        <v>1072579.375</v>
      </c>
      <c r="N1015">
        <v>1E-4</v>
      </c>
    </row>
    <row r="1016" spans="1:14" x14ac:dyDescent="0.35">
      <c r="A1016" s="1">
        <v>45657</v>
      </c>
      <c r="B1016" t="s">
        <v>14</v>
      </c>
      <c r="C1016" t="s">
        <v>15</v>
      </c>
      <c r="D1016" t="s">
        <v>1403</v>
      </c>
      <c r="E1016">
        <v>1</v>
      </c>
      <c r="F1016" t="s">
        <v>1500</v>
      </c>
      <c r="H1016" t="s">
        <v>1501</v>
      </c>
      <c r="I1016" t="str">
        <f>IF(ISBLANK(H1016),"",INDEX(Sheet1!$F$2:$F$936,MATCH(H1016,Sheet1!$C$2:$C$936,0)))</f>
        <v>EUR</v>
      </c>
      <c r="J1016">
        <v>27986</v>
      </c>
      <c r="M1016">
        <v>1673318.3389999999</v>
      </c>
      <c r="N1016">
        <v>2.0000000000000001E-4</v>
      </c>
    </row>
    <row r="1017" spans="1:14" x14ac:dyDescent="0.35">
      <c r="A1017" s="1">
        <v>45657</v>
      </c>
      <c r="B1017" t="s">
        <v>14</v>
      </c>
      <c r="C1017" t="s">
        <v>15</v>
      </c>
      <c r="D1017" t="s">
        <v>1403</v>
      </c>
      <c r="E1017">
        <v>1</v>
      </c>
      <c r="F1017" t="s">
        <v>1502</v>
      </c>
      <c r="H1017">
        <v>2812452</v>
      </c>
      <c r="I1017" t="str">
        <f>IF(ISBLANK(H1017),"",INDEX(Sheet1!$F$2:$F$936,MATCH(H1017,Sheet1!$C$2:$C$936,0)))</f>
        <v>USD</v>
      </c>
      <c r="J1017">
        <v>26696</v>
      </c>
      <c r="M1017">
        <v>7424054.1610000003</v>
      </c>
      <c r="N1017">
        <v>1E-3</v>
      </c>
    </row>
    <row r="1018" spans="1:14" x14ac:dyDescent="0.35">
      <c r="A1018" s="1">
        <v>45657</v>
      </c>
      <c r="B1018" t="s">
        <v>14</v>
      </c>
      <c r="C1018" t="s">
        <v>15</v>
      </c>
      <c r="D1018" t="s">
        <v>1403</v>
      </c>
      <c r="E1018">
        <v>1</v>
      </c>
      <c r="F1018" t="s">
        <v>1503</v>
      </c>
      <c r="H1018" t="s">
        <v>1504</v>
      </c>
      <c r="I1018" t="str">
        <f>IF(ISBLANK(H1018),"",INDEX(Sheet1!$F$2:$F$936,MATCH(H1018,Sheet1!$C$2:$C$936,0)))</f>
        <v>GBP</v>
      </c>
      <c r="J1018">
        <v>376579</v>
      </c>
      <c r="M1018">
        <v>597960.78940000001</v>
      </c>
      <c r="N1018">
        <v>1E-4</v>
      </c>
    </row>
    <row r="1019" spans="1:14" x14ac:dyDescent="0.35">
      <c r="A1019" s="1">
        <v>45657</v>
      </c>
      <c r="B1019" t="s">
        <v>14</v>
      </c>
      <c r="C1019" t="s">
        <v>15</v>
      </c>
      <c r="D1019" t="s">
        <v>1403</v>
      </c>
      <c r="E1019">
        <v>1</v>
      </c>
      <c r="F1019" t="s">
        <v>1505</v>
      </c>
      <c r="H1019">
        <v>6850856</v>
      </c>
      <c r="I1019" t="str">
        <f>IF(ISBLANK(H1019),"",INDEX(Sheet1!$F$2:$F$936,MATCH(H1019,Sheet1!$C$2:$C$936,0)))</f>
        <v>Australia</v>
      </c>
      <c r="J1019">
        <v>1113868</v>
      </c>
      <c r="M1019">
        <v>5346567.4579999996</v>
      </c>
      <c r="N1019">
        <v>6.9999999999999891E-4</v>
      </c>
    </row>
    <row r="1020" spans="1:14" x14ac:dyDescent="0.35">
      <c r="A1020" s="1">
        <v>45657</v>
      </c>
      <c r="B1020" t="s">
        <v>14</v>
      </c>
      <c r="C1020" t="s">
        <v>15</v>
      </c>
      <c r="D1020" t="s">
        <v>1403</v>
      </c>
      <c r="E1020">
        <v>1</v>
      </c>
      <c r="F1020" t="s">
        <v>1506</v>
      </c>
      <c r="H1020">
        <v>2860257</v>
      </c>
      <c r="I1020" t="str">
        <f>IF(ISBLANK(H1020),"",INDEX(Sheet1!$F$2:$F$936,MATCH(H1020,Sheet1!$C$2:$C$936,0)))</f>
        <v>USD</v>
      </c>
      <c r="J1020">
        <v>6834</v>
      </c>
      <c r="M1020">
        <v>1356670.1839999999</v>
      </c>
      <c r="N1020">
        <v>2.0000000000000001E-4</v>
      </c>
    </row>
    <row r="1021" spans="1:14" x14ac:dyDescent="0.35">
      <c r="A1021" s="1">
        <v>45657</v>
      </c>
      <c r="B1021" t="s">
        <v>14</v>
      </c>
      <c r="C1021" t="s">
        <v>15</v>
      </c>
      <c r="D1021" t="s">
        <v>1403</v>
      </c>
      <c r="E1021">
        <v>1</v>
      </c>
      <c r="F1021" t="s">
        <v>1507</v>
      </c>
      <c r="H1021" t="s">
        <v>1508</v>
      </c>
      <c r="I1021" t="str">
        <f>IF(ISBLANK(H1021),"",INDEX(Sheet1!$F$2:$F$936,MATCH(H1021,Sheet1!$C$2:$C$936,0)))</f>
        <v>USD</v>
      </c>
      <c r="J1021">
        <v>10483</v>
      </c>
      <c r="M1021">
        <v>1001609.6</v>
      </c>
      <c r="N1021">
        <v>1E-4</v>
      </c>
    </row>
    <row r="1022" spans="1:14" x14ac:dyDescent="0.35">
      <c r="A1022" s="1">
        <v>45657</v>
      </c>
      <c r="B1022" t="s">
        <v>14</v>
      </c>
      <c r="C1022" t="s">
        <v>15</v>
      </c>
      <c r="D1022" t="s">
        <v>1403</v>
      </c>
      <c r="E1022">
        <v>1</v>
      </c>
      <c r="F1022" t="s">
        <v>1509</v>
      </c>
      <c r="H1022" t="s">
        <v>1510</v>
      </c>
      <c r="I1022" t="str">
        <f>IF(ISBLANK(H1022),"",INDEX(Sheet1!$F$2:$F$936,MATCH(H1022,Sheet1!$C$2:$C$936,0)))</f>
        <v>EUR</v>
      </c>
      <c r="J1022">
        <v>19924</v>
      </c>
      <c r="M1022">
        <v>2423193.8870000001</v>
      </c>
      <c r="N1022">
        <v>2.9999999999999997E-4</v>
      </c>
    </row>
    <row r="1023" spans="1:14" x14ac:dyDescent="0.35">
      <c r="A1023" s="1">
        <v>45657</v>
      </c>
      <c r="B1023" t="s">
        <v>14</v>
      </c>
      <c r="C1023" t="s">
        <v>15</v>
      </c>
      <c r="D1023" t="s">
        <v>1403</v>
      </c>
      <c r="E1023">
        <v>1</v>
      </c>
      <c r="F1023" t="s">
        <v>1511</v>
      </c>
      <c r="H1023">
        <v>692861</v>
      </c>
      <c r="I1023" t="str">
        <f>IF(ISBLANK(H1023),"",INDEX(Sheet1!$F$2:$F$936,MATCH(H1023,Sheet1!$C$2:$C$936,0)))</f>
        <v>GBP</v>
      </c>
      <c r="J1023">
        <v>110990</v>
      </c>
      <c r="M1023">
        <v>1810657.156</v>
      </c>
      <c r="N1023">
        <v>2.9999999999999997E-4</v>
      </c>
    </row>
    <row r="1024" spans="1:14" x14ac:dyDescent="0.35">
      <c r="A1024" s="1">
        <v>45657</v>
      </c>
      <c r="B1024" t="s">
        <v>14</v>
      </c>
      <c r="C1024" t="s">
        <v>15</v>
      </c>
      <c r="D1024" t="s">
        <v>1403</v>
      </c>
      <c r="E1024">
        <v>1</v>
      </c>
      <c r="F1024" t="s">
        <v>1512</v>
      </c>
      <c r="H1024" t="s">
        <v>1513</v>
      </c>
      <c r="I1024" t="str">
        <f>IF(ISBLANK(H1024),"",INDEX(Sheet1!$F$2:$F$936,MATCH(H1024,Sheet1!$C$2:$C$936,0)))</f>
        <v>USD</v>
      </c>
      <c r="J1024">
        <v>27313</v>
      </c>
      <c r="M1024">
        <v>948450.29249999998</v>
      </c>
      <c r="N1024">
        <v>1E-4</v>
      </c>
    </row>
    <row r="1025" spans="1:14" x14ac:dyDescent="0.35">
      <c r="A1025" s="1">
        <v>45657</v>
      </c>
      <c r="B1025" t="s">
        <v>14</v>
      </c>
      <c r="C1025" t="s">
        <v>15</v>
      </c>
      <c r="D1025" t="s">
        <v>1403</v>
      </c>
      <c r="E1025">
        <v>1</v>
      </c>
      <c r="F1025" t="s">
        <v>1514</v>
      </c>
      <c r="H1025">
        <v>2927925</v>
      </c>
      <c r="I1025" t="str">
        <f>IF(ISBLANK(H1025),"",INDEX(Sheet1!$F$2:$F$936,MATCH(H1025,Sheet1!$C$2:$C$936,0)))</f>
        <v>USD</v>
      </c>
      <c r="J1025">
        <v>60343</v>
      </c>
      <c r="M1025">
        <v>5739435.8370000003</v>
      </c>
      <c r="N1025">
        <v>8.0000000000000004E-4</v>
      </c>
    </row>
    <row r="1026" spans="1:14" x14ac:dyDescent="0.35">
      <c r="A1026" s="1">
        <v>45657</v>
      </c>
      <c r="B1026" t="s">
        <v>14</v>
      </c>
      <c r="C1026" t="s">
        <v>15</v>
      </c>
      <c r="D1026" t="s">
        <v>1403</v>
      </c>
      <c r="E1026">
        <v>1</v>
      </c>
      <c r="F1026" t="s">
        <v>1515</v>
      </c>
      <c r="H1026" t="s">
        <v>1516</v>
      </c>
      <c r="I1026" t="str">
        <f>IF(ISBLANK(H1026),"",INDEX(Sheet1!$F$2:$F$936,MATCH(H1026,Sheet1!$C$2:$C$936,0)))</f>
        <v>Australia</v>
      </c>
      <c r="J1026">
        <v>1262063</v>
      </c>
      <c r="M1026">
        <v>2650332.9190000002</v>
      </c>
      <c r="N1026">
        <v>4.0000000000000002E-4</v>
      </c>
    </row>
    <row r="1027" spans="1:14" x14ac:dyDescent="0.35">
      <c r="A1027" s="1">
        <v>45657</v>
      </c>
      <c r="B1027" t="s">
        <v>14</v>
      </c>
      <c r="C1027" t="s">
        <v>15</v>
      </c>
      <c r="D1027" t="s">
        <v>1403</v>
      </c>
      <c r="E1027">
        <v>1</v>
      </c>
      <c r="F1027" t="s">
        <v>1517</v>
      </c>
      <c r="H1027" t="s">
        <v>1518</v>
      </c>
      <c r="I1027" t="str">
        <f>IF(ISBLANK(H1027),"",INDEX(Sheet1!$F$2:$F$936,MATCH(H1027,Sheet1!$C$2:$C$936,0)))</f>
        <v>EUR</v>
      </c>
      <c r="J1027">
        <v>25182</v>
      </c>
      <c r="M1027">
        <v>799788.99320000003</v>
      </c>
      <c r="N1027">
        <v>1E-4</v>
      </c>
    </row>
    <row r="1028" spans="1:14" x14ac:dyDescent="0.35">
      <c r="A1028" s="1">
        <v>45657</v>
      </c>
      <c r="B1028" t="s">
        <v>14</v>
      </c>
      <c r="C1028" t="s">
        <v>15</v>
      </c>
      <c r="D1028" t="s">
        <v>1403</v>
      </c>
      <c r="E1028">
        <v>1</v>
      </c>
      <c r="F1028" t="s">
        <v>1519</v>
      </c>
      <c r="H1028" t="s">
        <v>1520</v>
      </c>
      <c r="I1028" t="str">
        <f>IF(ISBLANK(H1028),"",INDEX(Sheet1!$F$2:$F$936,MATCH(H1028,Sheet1!$C$2:$C$936,0)))</f>
        <v>AUD</v>
      </c>
      <c r="J1028">
        <v>3627874</v>
      </c>
      <c r="M1028">
        <v>8452947.4100000001</v>
      </c>
      <c r="N1028">
        <v>1.1999999999999999E-3</v>
      </c>
    </row>
    <row r="1029" spans="1:14" x14ac:dyDescent="0.35">
      <c r="A1029" s="1">
        <v>45657</v>
      </c>
      <c r="B1029" t="s">
        <v>14</v>
      </c>
      <c r="C1029" t="s">
        <v>15</v>
      </c>
      <c r="D1029" t="s">
        <v>1403</v>
      </c>
      <c r="E1029">
        <v>1</v>
      </c>
      <c r="F1029" t="s">
        <v>1521</v>
      </c>
      <c r="H1029" t="s">
        <v>1522</v>
      </c>
      <c r="I1029" t="str">
        <f>IF(ISBLANK(H1029),"",INDEX(Sheet1!$F$2:$F$936,MATCH(H1029,Sheet1!$C$2:$C$936,0)))</f>
        <v>US</v>
      </c>
      <c r="J1029">
        <v>49995</v>
      </c>
      <c r="M1029">
        <v>10164606.970000001</v>
      </c>
      <c r="N1029">
        <v>1.3999999999999898E-3</v>
      </c>
    </row>
    <row r="1030" spans="1:14" x14ac:dyDescent="0.35">
      <c r="A1030" s="1">
        <v>45657</v>
      </c>
      <c r="B1030" t="s">
        <v>14</v>
      </c>
      <c r="C1030" t="s">
        <v>15</v>
      </c>
      <c r="D1030" t="s">
        <v>1403</v>
      </c>
      <c r="E1030">
        <v>1</v>
      </c>
      <c r="F1030" t="s">
        <v>71</v>
      </c>
      <c r="I1030" t="str">
        <f>IF(ISBLANK(H1030),"",INDEX(Sheet1!$F$2:$F$936,MATCH(H1030,Sheet1!$C$2:$C$936,0)))</f>
        <v/>
      </c>
      <c r="M1030">
        <v>233248181.9989</v>
      </c>
      <c r="N1030">
        <v>3.2000000000000001E-2</v>
      </c>
    </row>
    <row r="1031" spans="1:14" x14ac:dyDescent="0.35">
      <c r="A1031" s="1">
        <v>45657</v>
      </c>
      <c r="B1031" t="s">
        <v>14</v>
      </c>
      <c r="C1031" t="s">
        <v>15</v>
      </c>
      <c r="D1031" t="s">
        <v>1523</v>
      </c>
      <c r="E1031">
        <v>1</v>
      </c>
      <c r="F1031" t="s">
        <v>47</v>
      </c>
      <c r="I1031" t="str">
        <f>IF(ISBLANK(H1031),"",INDEX(Sheet1!$F$2:$F$936,MATCH(H1031,Sheet1!$C$2:$C$936,0)))</f>
        <v/>
      </c>
      <c r="M1031">
        <v>288915926.19999999</v>
      </c>
      <c r="N1031">
        <v>0.04</v>
      </c>
    </row>
    <row r="1032" spans="1:14" x14ac:dyDescent="0.35">
      <c r="A1032" s="1">
        <v>45657</v>
      </c>
      <c r="B1032" t="s">
        <v>14</v>
      </c>
      <c r="C1032" t="s">
        <v>15</v>
      </c>
      <c r="D1032" t="s">
        <v>1523</v>
      </c>
      <c r="E1032">
        <v>1</v>
      </c>
      <c r="F1032" t="s">
        <v>69</v>
      </c>
      <c r="I1032" t="str">
        <f>IF(ISBLANK(H1032),"",INDEX(Sheet1!$F$2:$F$936,MATCH(H1032,Sheet1!$C$2:$C$936,0)))</f>
        <v/>
      </c>
      <c r="M1032">
        <v>2000709.375</v>
      </c>
      <c r="N1032">
        <v>2.9999999999999997E-4</v>
      </c>
    </row>
    <row r="1033" spans="1:14" x14ac:dyDescent="0.35">
      <c r="A1033" s="1">
        <v>45657</v>
      </c>
      <c r="B1033" t="s">
        <v>14</v>
      </c>
      <c r="C1033" t="s">
        <v>15</v>
      </c>
      <c r="D1033" t="s">
        <v>1523</v>
      </c>
      <c r="E1033">
        <v>1</v>
      </c>
      <c r="F1033" t="s">
        <v>71</v>
      </c>
      <c r="I1033" t="str">
        <f>IF(ISBLANK(H1033),"",INDEX(Sheet1!$F$2:$F$936,MATCH(H1033,Sheet1!$C$2:$C$936,0)))</f>
        <v/>
      </c>
      <c r="M1033">
        <v>290916635.57499999</v>
      </c>
      <c r="N1033">
        <v>4.0300000000000002E-2</v>
      </c>
    </row>
    <row r="1034" spans="1:14" x14ac:dyDescent="0.35">
      <c r="A1034" s="1">
        <v>45657</v>
      </c>
      <c r="B1034" t="s">
        <v>14</v>
      </c>
      <c r="C1034" t="s">
        <v>15</v>
      </c>
      <c r="D1034" t="s">
        <v>1524</v>
      </c>
      <c r="E1034">
        <v>1</v>
      </c>
      <c r="F1034" t="s">
        <v>1525</v>
      </c>
      <c r="H1034">
        <v>6247306</v>
      </c>
      <c r="I1034" t="str">
        <f>IF(ISBLANK(H1034),"",INDEX(Sheet1!$F$2:$F$936,MATCH(H1034,Sheet1!$C$2:$C$936,0)))</f>
        <v>Australia</v>
      </c>
      <c r="J1034">
        <v>395991</v>
      </c>
      <c r="M1034">
        <v>2760057.0249999999</v>
      </c>
      <c r="N1034">
        <v>4.0000000000000002E-4</v>
      </c>
    </row>
    <row r="1035" spans="1:14" x14ac:dyDescent="0.35">
      <c r="A1035" s="1">
        <v>45657</v>
      </c>
      <c r="B1035" t="s">
        <v>14</v>
      </c>
      <c r="C1035" t="s">
        <v>15</v>
      </c>
      <c r="D1035" t="s">
        <v>1524</v>
      </c>
      <c r="E1035">
        <v>1</v>
      </c>
      <c r="F1035" t="s">
        <v>1526</v>
      </c>
      <c r="H1035" t="s">
        <v>1527</v>
      </c>
      <c r="I1035" t="str">
        <f>IF(ISBLANK(H1035),"",INDEX(Sheet1!$F$2:$F$936,MATCH(H1035,Sheet1!$C$2:$C$936,0)))</f>
        <v>Australia</v>
      </c>
      <c r="J1035">
        <v>593114</v>
      </c>
      <c r="M1035">
        <v>2817291.2710000002</v>
      </c>
      <c r="N1035">
        <v>4.0000000000000002E-4</v>
      </c>
    </row>
    <row r="1036" spans="1:14" x14ac:dyDescent="0.35">
      <c r="A1036" s="1">
        <v>45657</v>
      </c>
      <c r="B1036" t="s">
        <v>14</v>
      </c>
      <c r="C1036" t="s">
        <v>15</v>
      </c>
      <c r="D1036" t="s">
        <v>1524</v>
      </c>
      <c r="E1036">
        <v>1</v>
      </c>
      <c r="F1036" t="s">
        <v>1528</v>
      </c>
      <c r="H1036" t="s">
        <v>1529</v>
      </c>
      <c r="I1036" t="str">
        <f>IF(ISBLANK(H1036),"",INDEX(Sheet1!$F$2:$F$936,MATCH(H1036,Sheet1!$C$2:$C$936,0)))</f>
        <v>AU</v>
      </c>
      <c r="J1036">
        <v>598914</v>
      </c>
      <c r="M1036">
        <v>2156089.2059999998</v>
      </c>
      <c r="N1036">
        <v>2.9999999999999997E-4</v>
      </c>
    </row>
    <row r="1037" spans="1:14" x14ac:dyDescent="0.35">
      <c r="A1037" s="1">
        <v>45657</v>
      </c>
      <c r="B1037" t="s">
        <v>14</v>
      </c>
      <c r="C1037" t="s">
        <v>15</v>
      </c>
      <c r="D1037" t="s">
        <v>1524</v>
      </c>
      <c r="E1037">
        <v>1</v>
      </c>
      <c r="F1037" t="s">
        <v>1530</v>
      </c>
      <c r="H1037">
        <v>6200882</v>
      </c>
      <c r="I1037" t="str">
        <f>IF(ISBLANK(H1037),"",INDEX(Sheet1!$F$2:$F$936,MATCH(H1037,Sheet1!$C$2:$C$936,0)))</f>
        <v>Australia</v>
      </c>
      <c r="J1037">
        <v>2124915</v>
      </c>
      <c r="M1037">
        <v>28452608.440000001</v>
      </c>
      <c r="N1037">
        <v>3.8999999999999903E-3</v>
      </c>
    </row>
    <row r="1038" spans="1:14" x14ac:dyDescent="0.35">
      <c r="A1038" s="1">
        <v>45657</v>
      </c>
      <c r="B1038" t="s">
        <v>14</v>
      </c>
      <c r="C1038" t="s">
        <v>15</v>
      </c>
      <c r="D1038" t="s">
        <v>1524</v>
      </c>
      <c r="E1038">
        <v>1</v>
      </c>
      <c r="F1038" t="s">
        <v>71</v>
      </c>
      <c r="I1038" t="str">
        <f>IF(ISBLANK(H1038),"",INDEX(Sheet1!$F$2:$F$936,MATCH(H1038,Sheet1!$C$2:$C$936,0)))</f>
        <v/>
      </c>
      <c r="M1038">
        <v>36186045.942000002</v>
      </c>
      <c r="N1038">
        <v>5.0000000000000001E-3</v>
      </c>
    </row>
    <row r="1039" spans="1:14" x14ac:dyDescent="0.35">
      <c r="A1039" s="1">
        <v>45657</v>
      </c>
      <c r="B1039" t="s">
        <v>14</v>
      </c>
      <c r="C1039" t="s">
        <v>15</v>
      </c>
      <c r="D1039" t="s">
        <v>1531</v>
      </c>
      <c r="E1039">
        <v>1</v>
      </c>
      <c r="F1039" t="s">
        <v>1532</v>
      </c>
      <c r="I1039" t="str">
        <f>IF(ISBLANK(H1039),"",INDEX(Sheet1!$F$2:$F$936,MATCH(H1039,Sheet1!$C$2:$C$936,0)))</f>
        <v/>
      </c>
      <c r="M1039">
        <v>32167216.100000001</v>
      </c>
      <c r="N1039">
        <v>4.4999999999999901E-3</v>
      </c>
    </row>
    <row r="1040" spans="1:14" x14ac:dyDescent="0.35">
      <c r="A1040" s="1">
        <v>45657</v>
      </c>
      <c r="B1040" t="s">
        <v>14</v>
      </c>
      <c r="C1040" t="s">
        <v>15</v>
      </c>
      <c r="D1040" t="s">
        <v>1531</v>
      </c>
      <c r="E1040">
        <v>1</v>
      </c>
      <c r="F1040" t="s">
        <v>45</v>
      </c>
      <c r="I1040" t="str">
        <f>IF(ISBLANK(H1040),"",INDEX(Sheet1!$F$2:$F$936,MATCH(H1040,Sheet1!$C$2:$C$936,0)))</f>
        <v/>
      </c>
      <c r="M1040">
        <v>804693090.10000002</v>
      </c>
      <c r="N1040">
        <v>0.1114</v>
      </c>
    </row>
    <row r="1041" spans="1:14" x14ac:dyDescent="0.35">
      <c r="A1041" s="1">
        <v>45657</v>
      </c>
      <c r="B1041" t="s">
        <v>14</v>
      </c>
      <c r="C1041" t="s">
        <v>15</v>
      </c>
      <c r="D1041" t="s">
        <v>1531</v>
      </c>
      <c r="E1041">
        <v>1</v>
      </c>
      <c r="F1041" t="s">
        <v>71</v>
      </c>
      <c r="I1041" t="str">
        <f>IF(ISBLANK(H1041),"",INDEX(Sheet1!$F$2:$F$936,MATCH(H1041,Sheet1!$C$2:$C$936,0)))</f>
        <v/>
      </c>
      <c r="M1041">
        <v>836860306.20000005</v>
      </c>
      <c r="N1041">
        <v>0.1159</v>
      </c>
    </row>
  </sheetData>
  <autoFilter ref="A1:N1041" xr:uid="{B2EE3E0A-2A17-4064-8F31-E455B8DC381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26F-E98E-4093-877D-505BF0B70175}">
  <dimension ref="B1:J936"/>
  <sheetViews>
    <sheetView topLeftCell="B1" workbookViewId="0">
      <selection activeCell="E5" sqref="E5"/>
    </sheetView>
  </sheetViews>
  <sheetFormatPr defaultRowHeight="14.5" x14ac:dyDescent="0.35"/>
  <cols>
    <col min="2" max="2" width="54.26953125" bestFit="1" customWidth="1"/>
    <col min="4" max="4" width="14.54296875" bestFit="1" customWidth="1"/>
    <col min="6" max="6" width="14.54296875" bestFit="1" customWidth="1"/>
  </cols>
  <sheetData>
    <row r="1" spans="2:10" x14ac:dyDescent="0.35">
      <c r="B1" t="s">
        <v>1534</v>
      </c>
      <c r="C1" t="s">
        <v>1533</v>
      </c>
      <c r="D1" t="s">
        <v>1557</v>
      </c>
      <c r="E1" t="s">
        <v>1555</v>
      </c>
      <c r="F1" t="s">
        <v>1556</v>
      </c>
    </row>
    <row r="2" spans="2:10" x14ac:dyDescent="0.35">
      <c r="B2" t="s">
        <v>82</v>
      </c>
      <c r="C2" t="s">
        <v>83</v>
      </c>
      <c r="D2" t="s">
        <v>1558</v>
      </c>
      <c r="F2" t="str">
        <f>_xlfn.IFNA(D2,E2)</f>
        <v>Australia</v>
      </c>
      <c r="I2" cm="1">
        <f t="array" ref="I2">SUM(INT(ISNA(D2:D936)))</f>
        <v>326</v>
      </c>
      <c r="J2">
        <f>I2/COUNTA(C2:C936)</f>
        <v>0.34866310160427805</v>
      </c>
    </row>
    <row r="3" spans="2:10" x14ac:dyDescent="0.35">
      <c r="B3" t="s">
        <v>84</v>
      </c>
      <c r="C3" t="s">
        <v>85</v>
      </c>
      <c r="D3" t="s">
        <v>1559</v>
      </c>
      <c r="F3" t="str">
        <f t="shared" ref="F3:F66" si="0">_xlfn.IFNA(D3,E3)</f>
        <v>United Kingdom</v>
      </c>
    </row>
    <row r="4" spans="2:10" x14ac:dyDescent="0.35">
      <c r="B4" t="s">
        <v>86</v>
      </c>
      <c r="C4" t="s">
        <v>87</v>
      </c>
      <c r="D4" t="e">
        <v>#N/A</v>
      </c>
      <c r="E4" t="s">
        <v>57</v>
      </c>
      <c r="F4" t="str">
        <f t="shared" si="0"/>
        <v>NZD</v>
      </c>
    </row>
    <row r="5" spans="2:10" x14ac:dyDescent="0.35">
      <c r="B5" t="s">
        <v>88</v>
      </c>
      <c r="C5" t="s">
        <v>89</v>
      </c>
      <c r="D5" t="e">
        <v>#N/A</v>
      </c>
      <c r="E5" t="s">
        <v>34</v>
      </c>
      <c r="F5" t="str">
        <f t="shared" si="0"/>
        <v>INR</v>
      </c>
    </row>
    <row r="6" spans="2:10" x14ac:dyDescent="0.35">
      <c r="B6" t="s">
        <v>90</v>
      </c>
      <c r="C6">
        <v>7108899</v>
      </c>
      <c r="D6" t="s">
        <v>1560</v>
      </c>
      <c r="F6" t="str">
        <f t="shared" si="0"/>
        <v>Switzerland</v>
      </c>
    </row>
    <row r="7" spans="2:10" x14ac:dyDescent="0.35">
      <c r="B7" t="s">
        <v>91</v>
      </c>
      <c r="C7">
        <v>2002305</v>
      </c>
      <c r="D7" t="s">
        <v>1561</v>
      </c>
      <c r="F7" t="str">
        <f t="shared" si="0"/>
        <v>United States</v>
      </c>
    </row>
    <row r="8" spans="2:10" x14ac:dyDescent="0.35">
      <c r="B8" t="s">
        <v>92</v>
      </c>
      <c r="C8" t="s">
        <v>93</v>
      </c>
      <c r="D8" t="s">
        <v>1561</v>
      </c>
      <c r="F8" t="str">
        <f t="shared" si="0"/>
        <v>United States</v>
      </c>
    </row>
    <row r="9" spans="2:10" x14ac:dyDescent="0.35">
      <c r="B9" t="s">
        <v>94</v>
      </c>
      <c r="C9" t="s">
        <v>95</v>
      </c>
      <c r="D9" t="e">
        <v>#N/A</v>
      </c>
      <c r="E9" t="s">
        <v>18</v>
      </c>
      <c r="F9" t="str">
        <f t="shared" si="0"/>
        <v>AUD</v>
      </c>
    </row>
    <row r="10" spans="2:10" x14ac:dyDescent="0.35">
      <c r="B10" t="s">
        <v>96</v>
      </c>
      <c r="C10" t="s">
        <v>97</v>
      </c>
      <c r="D10" t="s">
        <v>1561</v>
      </c>
      <c r="F10" t="str">
        <f t="shared" si="0"/>
        <v>United States</v>
      </c>
    </row>
    <row r="11" spans="2:10" x14ac:dyDescent="0.35">
      <c r="B11" t="s">
        <v>98</v>
      </c>
      <c r="C11" t="s">
        <v>99</v>
      </c>
      <c r="D11" t="s">
        <v>1562</v>
      </c>
      <c r="F11" t="str">
        <f t="shared" si="0"/>
        <v>Spain</v>
      </c>
    </row>
    <row r="12" spans="2:10" x14ac:dyDescent="0.35">
      <c r="B12" t="s">
        <v>100</v>
      </c>
      <c r="C12" t="s">
        <v>101</v>
      </c>
      <c r="D12" t="e">
        <v>#N/A</v>
      </c>
      <c r="E12" t="s">
        <v>18</v>
      </c>
      <c r="F12" t="str">
        <f t="shared" si="0"/>
        <v>AUD</v>
      </c>
    </row>
    <row r="13" spans="2:10" x14ac:dyDescent="0.35">
      <c r="B13" t="s">
        <v>102</v>
      </c>
      <c r="C13">
        <v>2008154</v>
      </c>
      <c r="D13" t="s">
        <v>1561</v>
      </c>
      <c r="F13" t="str">
        <f t="shared" si="0"/>
        <v>United States</v>
      </c>
    </row>
    <row r="14" spans="2:10" x14ac:dyDescent="0.35">
      <c r="B14" t="s">
        <v>103</v>
      </c>
      <c r="C14">
        <v>2007849</v>
      </c>
      <c r="D14" t="s">
        <v>1561</v>
      </c>
      <c r="F14" t="str">
        <f t="shared" si="0"/>
        <v>United States</v>
      </c>
    </row>
    <row r="15" spans="2:10" x14ac:dyDescent="0.35">
      <c r="B15" t="s">
        <v>104</v>
      </c>
      <c r="C15">
        <v>6870490</v>
      </c>
      <c r="D15" t="s">
        <v>1563</v>
      </c>
      <c r="F15" t="str">
        <f t="shared" si="0"/>
        <v>Japan</v>
      </c>
    </row>
    <row r="16" spans="2:10" x14ac:dyDescent="0.35">
      <c r="B16" t="s">
        <v>105</v>
      </c>
      <c r="C16" t="s">
        <v>106</v>
      </c>
      <c r="D16" t="s">
        <v>1564</v>
      </c>
      <c r="F16" t="str">
        <f t="shared" si="0"/>
        <v>Netherlands</v>
      </c>
    </row>
    <row r="17" spans="2:6" x14ac:dyDescent="0.35">
      <c r="B17" t="s">
        <v>107</v>
      </c>
      <c r="C17" t="s">
        <v>108</v>
      </c>
      <c r="D17" t="s">
        <v>1565</v>
      </c>
      <c r="F17" t="str">
        <f t="shared" si="0"/>
        <v>Ireland</v>
      </c>
    </row>
    <row r="18" spans="2:6" x14ac:dyDescent="0.35">
      <c r="B18" t="s">
        <v>109</v>
      </c>
      <c r="C18">
        <v>2026361</v>
      </c>
      <c r="D18" t="s">
        <v>1561</v>
      </c>
      <c r="F18" t="str">
        <f t="shared" si="0"/>
        <v>United States</v>
      </c>
    </row>
    <row r="19" spans="2:6" x14ac:dyDescent="0.35">
      <c r="B19" t="s">
        <v>110</v>
      </c>
      <c r="C19" t="s">
        <v>111</v>
      </c>
      <c r="D19" t="s">
        <v>1566</v>
      </c>
      <c r="F19" t="str">
        <f t="shared" si="0"/>
        <v>Belgium</v>
      </c>
    </row>
    <row r="20" spans="2:6" x14ac:dyDescent="0.35">
      <c r="B20" t="s">
        <v>112</v>
      </c>
      <c r="C20">
        <v>2520153</v>
      </c>
      <c r="D20" t="s">
        <v>1561</v>
      </c>
      <c r="F20" t="str">
        <f t="shared" si="0"/>
        <v>United States</v>
      </c>
    </row>
    <row r="21" spans="2:6" x14ac:dyDescent="0.35">
      <c r="B21" t="s">
        <v>113</v>
      </c>
      <c r="C21">
        <v>2009823</v>
      </c>
      <c r="D21" t="s">
        <v>1567</v>
      </c>
      <c r="F21" t="str">
        <f t="shared" si="0"/>
        <v>Canada</v>
      </c>
    </row>
    <row r="22" spans="2:6" x14ac:dyDescent="0.35">
      <c r="B22" t="s">
        <v>114</v>
      </c>
      <c r="C22" t="s">
        <v>115</v>
      </c>
      <c r="D22" t="s">
        <v>1568</v>
      </c>
      <c r="F22" t="str">
        <f t="shared" si="0"/>
        <v>Hong Kong</v>
      </c>
    </row>
    <row r="23" spans="2:6" x14ac:dyDescent="0.35">
      <c r="B23" t="s">
        <v>116</v>
      </c>
      <c r="C23" t="s">
        <v>117</v>
      </c>
      <c r="D23" t="s">
        <v>1565</v>
      </c>
      <c r="F23" t="str">
        <f t="shared" si="0"/>
        <v>Ireland</v>
      </c>
    </row>
    <row r="24" spans="2:6" x14ac:dyDescent="0.35">
      <c r="B24" t="s">
        <v>118</v>
      </c>
      <c r="C24" t="s">
        <v>119</v>
      </c>
      <c r="D24" t="s">
        <v>1567</v>
      </c>
      <c r="F24" t="str">
        <f t="shared" si="0"/>
        <v>Canada</v>
      </c>
    </row>
    <row r="25" spans="2:6" x14ac:dyDescent="0.35">
      <c r="B25" t="s">
        <v>120</v>
      </c>
      <c r="C25">
        <v>4012250</v>
      </c>
      <c r="D25" t="s">
        <v>1564</v>
      </c>
      <c r="F25" t="str">
        <f t="shared" si="0"/>
        <v>Netherlands</v>
      </c>
    </row>
    <row r="26" spans="2:6" x14ac:dyDescent="0.35">
      <c r="B26" t="s">
        <v>121</v>
      </c>
      <c r="C26" t="s">
        <v>122</v>
      </c>
      <c r="D26" t="e">
        <v>#N/A</v>
      </c>
      <c r="E26" t="s">
        <v>40</v>
      </c>
      <c r="F26" t="str">
        <f t="shared" si="0"/>
        <v>TRY</v>
      </c>
    </row>
    <row r="27" spans="2:6" x14ac:dyDescent="0.35">
      <c r="B27" t="s">
        <v>123</v>
      </c>
      <c r="C27" t="s">
        <v>124</v>
      </c>
      <c r="D27" t="e">
        <v>#N/A</v>
      </c>
      <c r="E27" t="s">
        <v>58</v>
      </c>
      <c r="F27" t="str">
        <f t="shared" si="0"/>
        <v>SAR</v>
      </c>
    </row>
    <row r="28" spans="2:6" x14ac:dyDescent="0.35">
      <c r="B28" t="s">
        <v>125</v>
      </c>
      <c r="C28" t="s">
        <v>126</v>
      </c>
      <c r="D28" t="s">
        <v>1541</v>
      </c>
      <c r="F28" t="str">
        <f t="shared" si="0"/>
        <v>UAE</v>
      </c>
    </row>
    <row r="29" spans="2:6" x14ac:dyDescent="0.35">
      <c r="B29" t="s">
        <v>127</v>
      </c>
      <c r="C29" t="s">
        <v>128</v>
      </c>
      <c r="D29" t="s">
        <v>1569</v>
      </c>
      <c r="F29" t="str">
        <f t="shared" si="0"/>
        <v>China</v>
      </c>
    </row>
    <row r="30" spans="2:6" x14ac:dyDescent="0.35">
      <c r="B30" t="s">
        <v>129</v>
      </c>
      <c r="C30" t="s">
        <v>130</v>
      </c>
      <c r="D30" t="s">
        <v>1569</v>
      </c>
      <c r="F30" t="str">
        <f t="shared" si="0"/>
        <v>China</v>
      </c>
    </row>
    <row r="31" spans="2:6" x14ac:dyDescent="0.35">
      <c r="B31" t="s">
        <v>131</v>
      </c>
      <c r="C31" t="s">
        <v>132</v>
      </c>
      <c r="D31" t="e">
        <v>#N/A</v>
      </c>
      <c r="E31" t="s">
        <v>21</v>
      </c>
      <c r="F31" t="str">
        <f t="shared" si="0"/>
        <v>USD</v>
      </c>
    </row>
    <row r="32" spans="2:6" x14ac:dyDescent="0.35">
      <c r="B32" t="s">
        <v>133</v>
      </c>
      <c r="C32">
        <v>5231485</v>
      </c>
      <c r="D32" t="s">
        <v>1570</v>
      </c>
      <c r="F32" t="str">
        <f t="shared" si="0"/>
        <v>Germany</v>
      </c>
    </row>
    <row r="33" spans="2:6" x14ac:dyDescent="0.35">
      <c r="B33" t="s">
        <v>134</v>
      </c>
      <c r="C33" t="s">
        <v>135</v>
      </c>
      <c r="D33" t="s">
        <v>1561</v>
      </c>
      <c r="F33" t="str">
        <f t="shared" si="0"/>
        <v>United States</v>
      </c>
    </row>
    <row r="34" spans="2:6" x14ac:dyDescent="0.35">
      <c r="B34" t="s">
        <v>134</v>
      </c>
      <c r="C34" t="s">
        <v>136</v>
      </c>
      <c r="D34" t="s">
        <v>1561</v>
      </c>
      <c r="F34" t="str">
        <f t="shared" si="0"/>
        <v>United States</v>
      </c>
    </row>
    <row r="35" spans="2:6" x14ac:dyDescent="0.35">
      <c r="B35" t="s">
        <v>137</v>
      </c>
      <c r="C35" t="s">
        <v>138</v>
      </c>
      <c r="D35" t="s">
        <v>1558</v>
      </c>
      <c r="F35" t="str">
        <f t="shared" si="0"/>
        <v>Australia</v>
      </c>
    </row>
    <row r="36" spans="2:6" x14ac:dyDescent="0.35">
      <c r="B36" t="s">
        <v>139</v>
      </c>
      <c r="C36" t="s">
        <v>140</v>
      </c>
      <c r="D36" t="s">
        <v>1562</v>
      </c>
      <c r="F36" t="str">
        <f t="shared" si="0"/>
        <v>Spain</v>
      </c>
    </row>
    <row r="37" spans="2:6" x14ac:dyDescent="0.35">
      <c r="B37" t="s">
        <v>141</v>
      </c>
      <c r="C37">
        <v>2000019</v>
      </c>
      <c r="D37" t="s">
        <v>1561</v>
      </c>
      <c r="F37" t="str">
        <f t="shared" si="0"/>
        <v>United States</v>
      </c>
    </row>
    <row r="38" spans="2:6" x14ac:dyDescent="0.35">
      <c r="B38" t="s">
        <v>142</v>
      </c>
      <c r="C38" t="s">
        <v>143</v>
      </c>
      <c r="D38" t="e">
        <v>#N/A</v>
      </c>
      <c r="E38" t="s">
        <v>18</v>
      </c>
      <c r="F38" t="str">
        <f t="shared" si="0"/>
        <v>AUD</v>
      </c>
    </row>
    <row r="39" spans="2:6" x14ac:dyDescent="0.35">
      <c r="B39" t="s">
        <v>144</v>
      </c>
      <c r="C39" t="s">
        <v>145</v>
      </c>
      <c r="D39" t="s">
        <v>1559</v>
      </c>
      <c r="F39" t="str">
        <f t="shared" si="0"/>
        <v>United Kingdom</v>
      </c>
    </row>
    <row r="40" spans="2:6" x14ac:dyDescent="0.35">
      <c r="B40" t="s">
        <v>146</v>
      </c>
      <c r="C40">
        <v>2026082</v>
      </c>
      <c r="D40" t="s">
        <v>1561</v>
      </c>
      <c r="F40" t="str">
        <f t="shared" si="0"/>
        <v>United States</v>
      </c>
    </row>
    <row r="41" spans="2:6" x14ac:dyDescent="0.35">
      <c r="B41" t="s">
        <v>147</v>
      </c>
      <c r="C41">
        <v>2027342</v>
      </c>
      <c r="D41" t="s">
        <v>1561</v>
      </c>
      <c r="F41" t="str">
        <f t="shared" si="0"/>
        <v>United States</v>
      </c>
    </row>
    <row r="42" spans="2:6" x14ac:dyDescent="0.35">
      <c r="B42" t="s">
        <v>148</v>
      </c>
      <c r="C42" t="s">
        <v>149</v>
      </c>
      <c r="D42" t="e">
        <v>#N/A</v>
      </c>
      <c r="E42" s="2" t="s">
        <v>1543</v>
      </c>
      <c r="F42" t="str">
        <f t="shared" si="0"/>
        <v>SA</v>
      </c>
    </row>
    <row r="43" spans="2:6" x14ac:dyDescent="0.35">
      <c r="B43" t="s">
        <v>150</v>
      </c>
      <c r="C43" t="s">
        <v>151</v>
      </c>
      <c r="D43" t="s">
        <v>1561</v>
      </c>
      <c r="F43" t="str">
        <f t="shared" si="0"/>
        <v>United States</v>
      </c>
    </row>
    <row r="44" spans="2:6" x14ac:dyDescent="0.35">
      <c r="B44" t="s">
        <v>152</v>
      </c>
      <c r="C44">
        <v>2023607</v>
      </c>
      <c r="D44" t="s">
        <v>1561</v>
      </c>
      <c r="F44" t="str">
        <f t="shared" si="0"/>
        <v>United States</v>
      </c>
    </row>
    <row r="45" spans="2:6" x14ac:dyDescent="0.35">
      <c r="B45" t="s">
        <v>153</v>
      </c>
      <c r="C45" t="s">
        <v>154</v>
      </c>
      <c r="D45" t="e">
        <v>#N/A</v>
      </c>
      <c r="E45" t="s">
        <v>18</v>
      </c>
      <c r="F45" t="str">
        <f t="shared" si="0"/>
        <v>AUD</v>
      </c>
    </row>
    <row r="46" spans="2:6" x14ac:dyDescent="0.35">
      <c r="B46" t="s">
        <v>155</v>
      </c>
      <c r="C46">
        <v>6709958</v>
      </c>
      <c r="D46" t="s">
        <v>1558</v>
      </c>
      <c r="F46" t="str">
        <f t="shared" si="0"/>
        <v>Australia</v>
      </c>
    </row>
    <row r="47" spans="2:6" x14ac:dyDescent="0.35">
      <c r="B47" t="s">
        <v>156</v>
      </c>
      <c r="C47">
        <v>2145084</v>
      </c>
      <c r="D47" t="s">
        <v>1561</v>
      </c>
      <c r="F47" t="str">
        <f t="shared" si="0"/>
        <v>United States</v>
      </c>
    </row>
    <row r="48" spans="2:6" x14ac:dyDescent="0.35">
      <c r="B48" t="s">
        <v>157</v>
      </c>
      <c r="C48" t="s">
        <v>158</v>
      </c>
      <c r="D48" t="s">
        <v>1558</v>
      </c>
      <c r="F48" t="str">
        <f t="shared" si="0"/>
        <v>Australia</v>
      </c>
    </row>
    <row r="49" spans="2:6" x14ac:dyDescent="0.35">
      <c r="B49" t="s">
        <v>159</v>
      </c>
      <c r="C49">
        <v>2032067</v>
      </c>
      <c r="D49" t="s">
        <v>1561</v>
      </c>
      <c r="F49" t="str">
        <f t="shared" si="0"/>
        <v>United States</v>
      </c>
    </row>
    <row r="50" spans="2:6" x14ac:dyDescent="0.35">
      <c r="B50" t="s">
        <v>160</v>
      </c>
      <c r="C50" t="s">
        <v>161</v>
      </c>
      <c r="D50" t="e">
        <v>#N/A</v>
      </c>
      <c r="E50" t="s">
        <v>18</v>
      </c>
      <c r="F50" t="str">
        <f t="shared" si="0"/>
        <v>AUD</v>
      </c>
    </row>
    <row r="51" spans="2:6" x14ac:dyDescent="0.35">
      <c r="B51" t="s">
        <v>162</v>
      </c>
      <c r="C51" t="s">
        <v>163</v>
      </c>
      <c r="D51" t="e">
        <v>#N/A</v>
      </c>
      <c r="E51" t="s">
        <v>54</v>
      </c>
      <c r="F51" t="str">
        <f t="shared" si="0"/>
        <v>HKD</v>
      </c>
    </row>
    <row r="52" spans="2:6" x14ac:dyDescent="0.35">
      <c r="B52" t="s">
        <v>164</v>
      </c>
      <c r="C52">
        <v>6065586</v>
      </c>
      <c r="D52" t="s">
        <v>1558</v>
      </c>
      <c r="F52" t="str">
        <f t="shared" si="0"/>
        <v>Australia</v>
      </c>
    </row>
    <row r="53" spans="2:6" x14ac:dyDescent="0.35">
      <c r="B53" t="s">
        <v>165</v>
      </c>
      <c r="C53" t="s">
        <v>166</v>
      </c>
      <c r="D53" t="s">
        <v>1561</v>
      </c>
      <c r="F53" t="str">
        <f t="shared" si="0"/>
        <v>United States</v>
      </c>
    </row>
    <row r="54" spans="2:6" x14ac:dyDescent="0.35">
      <c r="B54" t="s">
        <v>167</v>
      </c>
      <c r="C54">
        <v>6273583</v>
      </c>
      <c r="D54" t="e">
        <v>#N/A</v>
      </c>
      <c r="E54" t="s">
        <v>34</v>
      </c>
      <c r="F54" t="str">
        <f t="shared" si="0"/>
        <v>INR</v>
      </c>
    </row>
    <row r="55" spans="2:6" x14ac:dyDescent="0.35">
      <c r="B55" t="s">
        <v>168</v>
      </c>
      <c r="C55" t="s">
        <v>169</v>
      </c>
      <c r="D55" t="e">
        <v>#N/A</v>
      </c>
      <c r="E55" t="s">
        <v>18</v>
      </c>
      <c r="F55" t="str">
        <f t="shared" si="0"/>
        <v>AUD</v>
      </c>
    </row>
    <row r="56" spans="2:6" x14ac:dyDescent="0.35">
      <c r="B56" t="s">
        <v>170</v>
      </c>
      <c r="C56">
        <v>2046251</v>
      </c>
      <c r="D56" t="s">
        <v>1561</v>
      </c>
      <c r="F56" t="str">
        <f t="shared" si="0"/>
        <v>United States</v>
      </c>
    </row>
    <row r="57" spans="2:6" x14ac:dyDescent="0.35">
      <c r="B57" t="s">
        <v>171</v>
      </c>
      <c r="C57">
        <v>2046552</v>
      </c>
      <c r="D57" t="s">
        <v>1561</v>
      </c>
      <c r="F57" t="str">
        <f t="shared" si="0"/>
        <v>United States</v>
      </c>
    </row>
    <row r="58" spans="2:6" x14ac:dyDescent="0.35">
      <c r="B58" t="s">
        <v>172</v>
      </c>
      <c r="C58" t="s">
        <v>173</v>
      </c>
      <c r="D58" t="s">
        <v>1561</v>
      </c>
      <c r="F58" t="str">
        <f t="shared" si="0"/>
        <v>United States</v>
      </c>
    </row>
    <row r="59" spans="2:6" x14ac:dyDescent="0.35">
      <c r="B59" t="s">
        <v>174</v>
      </c>
      <c r="C59" t="s">
        <v>175</v>
      </c>
      <c r="D59" t="e">
        <v>#N/A</v>
      </c>
      <c r="E59" t="s">
        <v>58</v>
      </c>
      <c r="F59" t="str">
        <f t="shared" si="0"/>
        <v>SAR</v>
      </c>
    </row>
    <row r="60" spans="2:6" x14ac:dyDescent="0.35">
      <c r="B60" t="s">
        <v>176</v>
      </c>
      <c r="C60" t="s">
        <v>177</v>
      </c>
      <c r="D60" t="s">
        <v>1558</v>
      </c>
      <c r="F60" t="str">
        <f t="shared" si="0"/>
        <v>Australia</v>
      </c>
    </row>
    <row r="61" spans="2:6" x14ac:dyDescent="0.35">
      <c r="B61" t="s">
        <v>178</v>
      </c>
      <c r="C61">
        <v>2823885</v>
      </c>
      <c r="D61" t="e">
        <v>#N/A</v>
      </c>
      <c r="E61" t="s">
        <v>35</v>
      </c>
      <c r="F61" t="str">
        <f t="shared" si="0"/>
        <v>MXN</v>
      </c>
    </row>
    <row r="62" spans="2:6" x14ac:dyDescent="0.35">
      <c r="B62" t="s">
        <v>179</v>
      </c>
      <c r="C62">
        <v>6253983</v>
      </c>
      <c r="D62" t="s">
        <v>1558</v>
      </c>
      <c r="F62" t="str">
        <f t="shared" si="0"/>
        <v>Australia</v>
      </c>
    </row>
    <row r="63" spans="2:6" x14ac:dyDescent="0.35">
      <c r="B63" t="s">
        <v>180</v>
      </c>
      <c r="C63">
        <v>6054603</v>
      </c>
      <c r="D63" t="s">
        <v>1563</v>
      </c>
      <c r="F63" t="str">
        <f t="shared" si="0"/>
        <v>Japan</v>
      </c>
    </row>
    <row r="64" spans="2:6" x14ac:dyDescent="0.35">
      <c r="B64" t="s">
        <v>181</v>
      </c>
      <c r="C64" t="s">
        <v>182</v>
      </c>
      <c r="D64" t="e">
        <v>#N/A</v>
      </c>
      <c r="E64" t="s">
        <v>34</v>
      </c>
      <c r="F64" t="str">
        <f t="shared" si="0"/>
        <v>INR</v>
      </c>
    </row>
    <row r="65" spans="2:6" x14ac:dyDescent="0.35">
      <c r="B65" t="s">
        <v>183</v>
      </c>
      <c r="C65">
        <v>6057378</v>
      </c>
      <c r="D65" t="s">
        <v>1563</v>
      </c>
      <c r="F65" t="str">
        <f t="shared" si="0"/>
        <v>Japan</v>
      </c>
    </row>
    <row r="66" spans="2:6" x14ac:dyDescent="0.35">
      <c r="B66" t="s">
        <v>184</v>
      </c>
      <c r="C66" t="s">
        <v>185</v>
      </c>
      <c r="D66" t="s">
        <v>1564</v>
      </c>
      <c r="F66" t="str">
        <f t="shared" si="0"/>
        <v>Netherlands</v>
      </c>
    </row>
    <row r="67" spans="2:6" x14ac:dyDescent="0.35">
      <c r="B67" t="s">
        <v>186</v>
      </c>
      <c r="C67" t="s">
        <v>187</v>
      </c>
      <c r="D67" t="s">
        <v>1564</v>
      </c>
      <c r="F67" t="str">
        <f t="shared" ref="F67:F130" si="1">_xlfn.IFNA(D67,E67)</f>
        <v>Netherlands</v>
      </c>
    </row>
    <row r="68" spans="2:6" x14ac:dyDescent="0.35">
      <c r="B68" t="s">
        <v>188</v>
      </c>
      <c r="C68">
        <v>6985383</v>
      </c>
      <c r="D68" t="s">
        <v>1563</v>
      </c>
      <c r="F68" t="str">
        <f t="shared" si="1"/>
        <v>Japan</v>
      </c>
    </row>
    <row r="69" spans="2:6" x14ac:dyDescent="0.35">
      <c r="B69" t="s">
        <v>189</v>
      </c>
      <c r="C69">
        <v>2989044</v>
      </c>
      <c r="D69" t="s">
        <v>1559</v>
      </c>
      <c r="F69" t="str">
        <f t="shared" si="1"/>
        <v>United Kingdom</v>
      </c>
    </row>
    <row r="70" spans="2:6" x14ac:dyDescent="0.35">
      <c r="B70" t="s">
        <v>190</v>
      </c>
      <c r="C70">
        <v>989529</v>
      </c>
      <c r="D70" t="s">
        <v>1559</v>
      </c>
      <c r="F70" t="str">
        <f t="shared" si="1"/>
        <v>United Kingdom</v>
      </c>
    </row>
    <row r="71" spans="2:6" x14ac:dyDescent="0.35">
      <c r="B71" t="s">
        <v>191</v>
      </c>
      <c r="C71">
        <v>6051046</v>
      </c>
      <c r="D71" t="s">
        <v>1571</v>
      </c>
      <c r="F71" t="str">
        <f t="shared" si="1"/>
        <v>Taiwan</v>
      </c>
    </row>
    <row r="72" spans="2:6" x14ac:dyDescent="0.35">
      <c r="B72" t="s">
        <v>192</v>
      </c>
      <c r="C72">
        <v>6129222</v>
      </c>
      <c r="D72" t="s">
        <v>1558</v>
      </c>
      <c r="F72" t="str">
        <f t="shared" si="1"/>
        <v>Australia</v>
      </c>
    </row>
    <row r="73" spans="2:6" x14ac:dyDescent="0.35">
      <c r="B73" t="s">
        <v>193</v>
      </c>
      <c r="C73">
        <v>2831811</v>
      </c>
      <c r="D73" t="s">
        <v>1561</v>
      </c>
      <c r="F73" t="str">
        <f t="shared" si="1"/>
        <v>United States</v>
      </c>
    </row>
    <row r="74" spans="2:6" x14ac:dyDescent="0.35">
      <c r="B74" t="s">
        <v>194</v>
      </c>
      <c r="C74" t="s">
        <v>195</v>
      </c>
      <c r="D74" t="s">
        <v>1561</v>
      </c>
      <c r="F74" t="str">
        <f t="shared" si="1"/>
        <v>United States</v>
      </c>
    </row>
    <row r="75" spans="2:6" x14ac:dyDescent="0.35">
      <c r="B75" t="s">
        <v>196</v>
      </c>
      <c r="C75" t="s">
        <v>197</v>
      </c>
      <c r="D75" t="e">
        <v>#N/A</v>
      </c>
      <c r="E75" t="s">
        <v>18</v>
      </c>
      <c r="F75" t="str">
        <f t="shared" si="1"/>
        <v>AUD</v>
      </c>
    </row>
    <row r="76" spans="2:6" x14ac:dyDescent="0.35">
      <c r="B76" t="s">
        <v>198</v>
      </c>
      <c r="C76" t="s">
        <v>199</v>
      </c>
      <c r="D76" t="e">
        <v>#N/A</v>
      </c>
      <c r="E76" t="s">
        <v>1542</v>
      </c>
      <c r="F76" t="str">
        <f t="shared" si="1"/>
        <v>NZ</v>
      </c>
    </row>
    <row r="77" spans="2:6" x14ac:dyDescent="0.35">
      <c r="B77" t="s">
        <v>200</v>
      </c>
      <c r="C77" t="s">
        <v>201</v>
      </c>
      <c r="D77" t="e">
        <v>#N/A</v>
      </c>
      <c r="E77" t="s">
        <v>18</v>
      </c>
      <c r="F77" t="str">
        <f t="shared" si="1"/>
        <v>AUD</v>
      </c>
    </row>
    <row r="78" spans="2:6" x14ac:dyDescent="0.35">
      <c r="B78" t="s">
        <v>202</v>
      </c>
      <c r="C78" t="s">
        <v>203</v>
      </c>
      <c r="D78" t="s">
        <v>1558</v>
      </c>
      <c r="F78" t="str">
        <f t="shared" si="1"/>
        <v>Australia</v>
      </c>
    </row>
    <row r="79" spans="2:6" x14ac:dyDescent="0.35">
      <c r="B79" t="s">
        <v>204</v>
      </c>
      <c r="C79" t="s">
        <v>205</v>
      </c>
      <c r="D79" t="e">
        <v>#N/A</v>
      </c>
      <c r="E79" t="s">
        <v>18</v>
      </c>
      <c r="F79" t="str">
        <f t="shared" si="1"/>
        <v>AUD</v>
      </c>
    </row>
    <row r="80" spans="2:6" x14ac:dyDescent="0.35">
      <c r="B80" t="s">
        <v>206</v>
      </c>
      <c r="C80">
        <v>6137162</v>
      </c>
      <c r="D80" t="e">
        <v>#N/A</v>
      </c>
      <c r="E80" t="s">
        <v>18</v>
      </c>
      <c r="F80" t="str">
        <f t="shared" si="1"/>
        <v>AUD</v>
      </c>
    </row>
    <row r="81" spans="2:6" x14ac:dyDescent="0.35">
      <c r="B81" t="s">
        <v>207</v>
      </c>
      <c r="C81">
        <v>6710615</v>
      </c>
      <c r="D81" t="e">
        <v>#N/A</v>
      </c>
      <c r="E81" t="s">
        <v>18</v>
      </c>
      <c r="F81" t="str">
        <f t="shared" si="1"/>
        <v>AUD</v>
      </c>
    </row>
    <row r="82" spans="2:6" x14ac:dyDescent="0.35">
      <c r="B82" t="s">
        <v>208</v>
      </c>
      <c r="C82" t="s">
        <v>209</v>
      </c>
      <c r="D82" t="e">
        <v>#N/A</v>
      </c>
      <c r="E82" t="s">
        <v>18</v>
      </c>
      <c r="F82" t="str">
        <f t="shared" si="1"/>
        <v>AUD</v>
      </c>
    </row>
    <row r="83" spans="2:6" x14ac:dyDescent="0.35">
      <c r="B83" t="s">
        <v>210</v>
      </c>
      <c r="C83" t="s">
        <v>211</v>
      </c>
      <c r="D83" t="e">
        <v>#N/A</v>
      </c>
      <c r="E83" t="s">
        <v>18</v>
      </c>
      <c r="F83" t="str">
        <f t="shared" si="1"/>
        <v>AUD</v>
      </c>
    </row>
    <row r="84" spans="2:6" x14ac:dyDescent="0.35">
      <c r="B84" t="s">
        <v>212</v>
      </c>
      <c r="C84" t="s">
        <v>213</v>
      </c>
      <c r="D84" t="e">
        <v>#N/A</v>
      </c>
      <c r="E84" t="s">
        <v>18</v>
      </c>
      <c r="F84" t="str">
        <f t="shared" si="1"/>
        <v>AUD</v>
      </c>
    </row>
    <row r="85" spans="2:6" x14ac:dyDescent="0.35">
      <c r="B85" t="s">
        <v>214</v>
      </c>
      <c r="C85">
        <v>2065308</v>
      </c>
      <c r="D85" t="s">
        <v>1561</v>
      </c>
      <c r="F85" t="str">
        <f t="shared" si="1"/>
        <v>United States</v>
      </c>
    </row>
    <row r="86" spans="2:6" x14ac:dyDescent="0.35">
      <c r="B86" t="s">
        <v>215</v>
      </c>
      <c r="C86" t="s">
        <v>216</v>
      </c>
      <c r="D86" t="e">
        <v>#N/A</v>
      </c>
      <c r="E86" t="s">
        <v>18</v>
      </c>
      <c r="F86" t="str">
        <f t="shared" si="1"/>
        <v>AUD</v>
      </c>
    </row>
    <row r="87" spans="2:6" x14ac:dyDescent="0.35">
      <c r="B87" t="s">
        <v>217</v>
      </c>
      <c r="C87" t="s">
        <v>218</v>
      </c>
      <c r="D87" t="e">
        <v>#N/A</v>
      </c>
      <c r="E87" t="s">
        <v>34</v>
      </c>
      <c r="F87" t="str">
        <f t="shared" si="1"/>
        <v>INR</v>
      </c>
    </row>
    <row r="88" spans="2:6" x14ac:dyDescent="0.35">
      <c r="B88" t="s">
        <v>219</v>
      </c>
      <c r="C88">
        <v>2066408</v>
      </c>
      <c r="D88" t="s">
        <v>1561</v>
      </c>
      <c r="F88" t="str">
        <f t="shared" si="1"/>
        <v>United States</v>
      </c>
    </row>
    <row r="89" spans="2:6" x14ac:dyDescent="0.35">
      <c r="B89" t="s">
        <v>220</v>
      </c>
      <c r="C89" t="s">
        <v>221</v>
      </c>
      <c r="D89" t="s">
        <v>1559</v>
      </c>
      <c r="F89" t="str">
        <f t="shared" si="1"/>
        <v>United Kingdom</v>
      </c>
    </row>
    <row r="90" spans="2:6" x14ac:dyDescent="0.35">
      <c r="B90" t="s">
        <v>222</v>
      </c>
      <c r="C90">
        <v>7088429</v>
      </c>
      <c r="D90" t="s">
        <v>1572</v>
      </c>
      <c r="F90" t="str">
        <f t="shared" si="1"/>
        <v>France</v>
      </c>
    </row>
    <row r="91" spans="2:6" x14ac:dyDescent="0.35">
      <c r="B91" t="s">
        <v>223</v>
      </c>
      <c r="C91" t="s">
        <v>224</v>
      </c>
      <c r="D91" t="s">
        <v>1558</v>
      </c>
      <c r="F91" t="str">
        <f t="shared" si="1"/>
        <v>Australia</v>
      </c>
    </row>
    <row r="92" spans="2:6" x14ac:dyDescent="0.35">
      <c r="B92" t="s">
        <v>225</v>
      </c>
      <c r="C92">
        <v>263494</v>
      </c>
      <c r="D92" t="s">
        <v>1559</v>
      </c>
      <c r="F92" t="str">
        <f t="shared" si="1"/>
        <v>United Kingdom</v>
      </c>
    </row>
    <row r="93" spans="2:6" x14ac:dyDescent="0.35">
      <c r="B93" t="s">
        <v>226</v>
      </c>
      <c r="C93" t="s">
        <v>227</v>
      </c>
      <c r="D93" t="e">
        <v>#N/A</v>
      </c>
      <c r="E93" t="s">
        <v>34</v>
      </c>
      <c r="F93" t="str">
        <f t="shared" si="1"/>
        <v>INR</v>
      </c>
    </row>
    <row r="94" spans="2:6" x14ac:dyDescent="0.35">
      <c r="B94" t="s">
        <v>228</v>
      </c>
      <c r="C94" t="s">
        <v>229</v>
      </c>
      <c r="D94" t="e">
        <v>#N/A</v>
      </c>
      <c r="E94" t="s">
        <v>34</v>
      </c>
      <c r="F94" t="str">
        <f t="shared" si="1"/>
        <v>INR</v>
      </c>
    </row>
    <row r="95" spans="2:6" x14ac:dyDescent="0.35">
      <c r="B95" t="s">
        <v>230</v>
      </c>
      <c r="C95" t="s">
        <v>231</v>
      </c>
      <c r="D95" t="s">
        <v>1561</v>
      </c>
      <c r="F95" t="str">
        <f t="shared" si="1"/>
        <v>United States</v>
      </c>
    </row>
    <row r="96" spans="2:6" x14ac:dyDescent="0.35">
      <c r="B96" t="s">
        <v>232</v>
      </c>
      <c r="C96">
        <v>5501906</v>
      </c>
      <c r="D96" t="s">
        <v>1562</v>
      </c>
      <c r="F96" t="str">
        <f t="shared" si="1"/>
        <v>Spain</v>
      </c>
    </row>
    <row r="97" spans="2:6" x14ac:dyDescent="0.35">
      <c r="B97" t="s">
        <v>233</v>
      </c>
      <c r="C97" t="s">
        <v>234</v>
      </c>
      <c r="D97" t="e">
        <v>#N/A</v>
      </c>
      <c r="E97" t="s">
        <v>51</v>
      </c>
      <c r="F97" t="str">
        <f t="shared" si="1"/>
        <v>COP</v>
      </c>
    </row>
    <row r="98" spans="2:6" x14ac:dyDescent="0.35">
      <c r="B98" t="s">
        <v>235</v>
      </c>
      <c r="C98" t="s">
        <v>236</v>
      </c>
      <c r="D98" t="s">
        <v>1563</v>
      </c>
      <c r="F98" t="str">
        <f t="shared" si="1"/>
        <v>Japan</v>
      </c>
    </row>
    <row r="99" spans="2:6" x14ac:dyDescent="0.35">
      <c r="B99" t="s">
        <v>237</v>
      </c>
      <c r="C99" t="s">
        <v>238</v>
      </c>
      <c r="D99" t="s">
        <v>1573</v>
      </c>
      <c r="F99" t="str">
        <f t="shared" si="1"/>
        <v>Indonesia</v>
      </c>
    </row>
    <row r="100" spans="2:6" x14ac:dyDescent="0.35">
      <c r="B100" t="s">
        <v>239</v>
      </c>
      <c r="C100">
        <v>6076425</v>
      </c>
      <c r="D100" t="s">
        <v>1574</v>
      </c>
      <c r="F100" t="str">
        <f t="shared" si="1"/>
        <v>Israel</v>
      </c>
    </row>
    <row r="101" spans="2:6" x14ac:dyDescent="0.35">
      <c r="B101" t="s">
        <v>240</v>
      </c>
      <c r="C101">
        <v>6651048</v>
      </c>
      <c r="D101" t="s">
        <v>1573</v>
      </c>
      <c r="F101" t="str">
        <f t="shared" si="1"/>
        <v>Indonesia</v>
      </c>
    </row>
    <row r="102" spans="2:6" x14ac:dyDescent="0.35">
      <c r="B102" t="s">
        <v>241</v>
      </c>
      <c r="C102">
        <v>2295677</v>
      </c>
      <c r="D102" t="s">
        <v>1561</v>
      </c>
      <c r="F102" t="str">
        <f t="shared" si="1"/>
        <v>United States</v>
      </c>
    </row>
    <row r="103" spans="2:6" x14ac:dyDescent="0.35">
      <c r="B103" t="s">
        <v>242</v>
      </c>
      <c r="C103" t="s">
        <v>243</v>
      </c>
      <c r="D103" t="s">
        <v>1561</v>
      </c>
      <c r="F103" t="str">
        <f t="shared" si="1"/>
        <v>United States</v>
      </c>
    </row>
    <row r="104" spans="2:6" x14ac:dyDescent="0.35">
      <c r="B104" t="s">
        <v>244</v>
      </c>
      <c r="C104">
        <v>6076243</v>
      </c>
      <c r="D104" t="s">
        <v>1558</v>
      </c>
      <c r="F104" t="str">
        <f t="shared" si="1"/>
        <v>Australia</v>
      </c>
    </row>
    <row r="105" spans="2:6" x14ac:dyDescent="0.35">
      <c r="B105" t="s">
        <v>245</v>
      </c>
      <c r="C105">
        <v>5473113</v>
      </c>
      <c r="D105" t="s">
        <v>1575</v>
      </c>
      <c r="F105" t="str">
        <f t="shared" si="1"/>
        <v>Poland</v>
      </c>
    </row>
    <row r="106" spans="2:6" x14ac:dyDescent="0.35">
      <c r="B106" t="s">
        <v>246</v>
      </c>
      <c r="C106">
        <v>6709099</v>
      </c>
      <c r="D106" t="e">
        <v>#N/A</v>
      </c>
      <c r="E106" t="s">
        <v>1544</v>
      </c>
      <c r="F106" t="str">
        <f t="shared" si="1"/>
        <v>ID</v>
      </c>
    </row>
    <row r="107" spans="2:6" x14ac:dyDescent="0.35">
      <c r="B107" t="s">
        <v>247</v>
      </c>
      <c r="C107" t="s">
        <v>248</v>
      </c>
      <c r="D107" t="s">
        <v>1558</v>
      </c>
      <c r="F107" t="str">
        <f t="shared" si="1"/>
        <v>Australia</v>
      </c>
    </row>
    <row r="108" spans="2:6" x14ac:dyDescent="0.35">
      <c r="B108" t="s">
        <v>249</v>
      </c>
      <c r="C108">
        <v>3134865</v>
      </c>
      <c r="D108" t="s">
        <v>1559</v>
      </c>
      <c r="F108" t="str">
        <f t="shared" si="1"/>
        <v>United Kingdom</v>
      </c>
    </row>
    <row r="109" spans="2:6" x14ac:dyDescent="0.35">
      <c r="B109" t="s">
        <v>250</v>
      </c>
      <c r="C109">
        <v>5756029</v>
      </c>
      <c r="D109" t="s">
        <v>1570</v>
      </c>
      <c r="F109" t="str">
        <f t="shared" si="1"/>
        <v>Germany</v>
      </c>
    </row>
    <row r="110" spans="2:6" x14ac:dyDescent="0.35">
      <c r="B110" t="s">
        <v>251</v>
      </c>
      <c r="C110" t="s">
        <v>252</v>
      </c>
      <c r="D110" t="e">
        <v>#N/A</v>
      </c>
      <c r="E110" t="s">
        <v>18</v>
      </c>
      <c r="F110" t="str">
        <f t="shared" si="1"/>
        <v>AUD</v>
      </c>
    </row>
    <row r="111" spans="2:6" x14ac:dyDescent="0.35">
      <c r="B111" t="s">
        <v>253</v>
      </c>
      <c r="C111">
        <v>2087807</v>
      </c>
      <c r="D111" t="s">
        <v>1561</v>
      </c>
      <c r="F111" t="str">
        <f t="shared" si="1"/>
        <v>United States</v>
      </c>
    </row>
    <row r="112" spans="2:6" x14ac:dyDescent="0.35">
      <c r="B112" t="s">
        <v>254</v>
      </c>
      <c r="C112" t="s">
        <v>255</v>
      </c>
      <c r="D112" t="e">
        <v>#N/A</v>
      </c>
      <c r="E112" t="s">
        <v>18</v>
      </c>
      <c r="F112" t="str">
        <f t="shared" si="1"/>
        <v>AUD</v>
      </c>
    </row>
    <row r="113" spans="2:6" x14ac:dyDescent="0.35">
      <c r="B113" t="s">
        <v>256</v>
      </c>
      <c r="C113" t="s">
        <v>257</v>
      </c>
      <c r="D113" t="s">
        <v>1576</v>
      </c>
      <c r="F113" t="str">
        <f t="shared" si="1"/>
        <v>Cayman Islands</v>
      </c>
    </row>
    <row r="114" spans="2:6" x14ac:dyDescent="0.35">
      <c r="B114" t="s">
        <v>258</v>
      </c>
      <c r="C114" t="s">
        <v>259</v>
      </c>
      <c r="D114" t="e">
        <v>#N/A</v>
      </c>
      <c r="E114" t="s">
        <v>1545</v>
      </c>
      <c r="F114" t="str">
        <f t="shared" si="1"/>
        <v>CN</v>
      </c>
    </row>
    <row r="115" spans="2:6" x14ac:dyDescent="0.35">
      <c r="B115" t="s">
        <v>260</v>
      </c>
      <c r="C115">
        <v>6091280</v>
      </c>
      <c r="D115" t="s">
        <v>1558</v>
      </c>
      <c r="F115" t="str">
        <f t="shared" si="1"/>
        <v>Australia</v>
      </c>
    </row>
    <row r="116" spans="2:6" x14ac:dyDescent="0.35">
      <c r="B116" t="s">
        <v>261</v>
      </c>
      <c r="C116">
        <v>2073390</v>
      </c>
      <c r="D116" t="s">
        <v>1561</v>
      </c>
      <c r="F116" t="str">
        <f t="shared" si="1"/>
        <v>United States</v>
      </c>
    </row>
    <row r="117" spans="2:6" x14ac:dyDescent="0.35">
      <c r="B117" t="s">
        <v>262</v>
      </c>
      <c r="C117">
        <v>2094670</v>
      </c>
      <c r="D117" t="s">
        <v>1561</v>
      </c>
      <c r="F117" t="str">
        <f t="shared" si="1"/>
        <v>United States</v>
      </c>
    </row>
    <row r="118" spans="2:6" x14ac:dyDescent="0.35">
      <c r="B118" t="s">
        <v>263</v>
      </c>
      <c r="C118">
        <v>6099723</v>
      </c>
      <c r="D118" t="s">
        <v>1577</v>
      </c>
      <c r="F118" t="str">
        <f t="shared" si="1"/>
        <v>India</v>
      </c>
    </row>
    <row r="119" spans="2:6" x14ac:dyDescent="0.35">
      <c r="B119" t="s">
        <v>264</v>
      </c>
      <c r="C119" t="s">
        <v>265</v>
      </c>
      <c r="D119" t="e">
        <v>#N/A</v>
      </c>
      <c r="E119" t="s">
        <v>18</v>
      </c>
      <c r="F119" t="str">
        <f t="shared" si="1"/>
        <v>AUD</v>
      </c>
    </row>
    <row r="120" spans="2:6" x14ac:dyDescent="0.35">
      <c r="B120" t="s">
        <v>266</v>
      </c>
      <c r="C120" t="s">
        <v>267</v>
      </c>
      <c r="D120" t="e">
        <v>#N/A</v>
      </c>
      <c r="E120" t="s">
        <v>54</v>
      </c>
      <c r="F120" t="str">
        <f t="shared" si="1"/>
        <v>HKD</v>
      </c>
    </row>
    <row r="121" spans="2:6" x14ac:dyDescent="0.35">
      <c r="B121" t="s">
        <v>268</v>
      </c>
      <c r="C121" t="s">
        <v>269</v>
      </c>
      <c r="D121" t="s">
        <v>1570</v>
      </c>
      <c r="F121" t="str">
        <f t="shared" si="1"/>
        <v>Germany</v>
      </c>
    </row>
    <row r="122" spans="2:6" x14ac:dyDescent="0.35">
      <c r="B122" t="s">
        <v>270</v>
      </c>
      <c r="C122" t="s">
        <v>271</v>
      </c>
      <c r="D122" t="s">
        <v>1561</v>
      </c>
      <c r="F122" t="str">
        <f t="shared" si="1"/>
        <v>United States</v>
      </c>
    </row>
    <row r="123" spans="2:6" x14ac:dyDescent="0.35">
      <c r="B123" t="s">
        <v>272</v>
      </c>
      <c r="C123" t="s">
        <v>273</v>
      </c>
      <c r="D123" t="s">
        <v>1561</v>
      </c>
      <c r="F123" t="str">
        <f t="shared" si="1"/>
        <v>United States</v>
      </c>
    </row>
    <row r="124" spans="2:6" x14ac:dyDescent="0.35">
      <c r="B124" t="s">
        <v>274</v>
      </c>
      <c r="C124" t="s">
        <v>275</v>
      </c>
      <c r="D124" t="s">
        <v>1561</v>
      </c>
      <c r="F124" t="str">
        <f t="shared" si="1"/>
        <v>United States</v>
      </c>
    </row>
    <row r="125" spans="2:6" x14ac:dyDescent="0.35">
      <c r="B125" t="s">
        <v>276</v>
      </c>
      <c r="C125">
        <v>6533232</v>
      </c>
      <c r="D125" t="s">
        <v>1558</v>
      </c>
      <c r="F125" t="str">
        <f t="shared" si="1"/>
        <v>Australia</v>
      </c>
    </row>
    <row r="126" spans="2:6" x14ac:dyDescent="0.35">
      <c r="B126" t="s">
        <v>277</v>
      </c>
      <c r="C126">
        <v>7309681</v>
      </c>
      <c r="D126" t="s">
        <v>1572</v>
      </c>
      <c r="F126" t="str">
        <f t="shared" si="1"/>
        <v>France</v>
      </c>
    </row>
    <row r="127" spans="2:6" x14ac:dyDescent="0.35">
      <c r="B127" t="s">
        <v>278</v>
      </c>
      <c r="C127">
        <v>6536112</v>
      </c>
      <c r="D127" t="s">
        <v>1568</v>
      </c>
      <c r="F127" t="str">
        <f t="shared" si="1"/>
        <v>Hong Kong</v>
      </c>
    </row>
    <row r="128" spans="2:6" x14ac:dyDescent="0.35">
      <c r="B128" t="s">
        <v>279</v>
      </c>
      <c r="C128" t="s">
        <v>280</v>
      </c>
      <c r="D128" t="s">
        <v>1578</v>
      </c>
      <c r="F128" t="str">
        <f t="shared" si="1"/>
        <v>Sweden</v>
      </c>
    </row>
    <row r="129" spans="2:6" x14ac:dyDescent="0.35">
      <c r="B129" t="s">
        <v>281</v>
      </c>
      <c r="C129" t="s">
        <v>282</v>
      </c>
      <c r="D129" t="s">
        <v>1561</v>
      </c>
      <c r="F129" t="str">
        <f t="shared" si="1"/>
        <v>United States</v>
      </c>
    </row>
    <row r="130" spans="2:6" x14ac:dyDescent="0.35">
      <c r="B130" t="s">
        <v>283</v>
      </c>
      <c r="C130" t="s">
        <v>284</v>
      </c>
      <c r="D130" t="s">
        <v>1561</v>
      </c>
      <c r="F130" t="str">
        <f t="shared" si="1"/>
        <v>United States</v>
      </c>
    </row>
    <row r="131" spans="2:6" x14ac:dyDescent="0.35">
      <c r="B131" t="s">
        <v>285</v>
      </c>
      <c r="C131" t="s">
        <v>286</v>
      </c>
      <c r="D131" t="e">
        <v>#N/A</v>
      </c>
      <c r="E131" t="s">
        <v>1546</v>
      </c>
      <c r="F131" t="str">
        <f t="shared" ref="F131:F194" si="2">_xlfn.IFNA(D131,E131)</f>
        <v>HK</v>
      </c>
    </row>
    <row r="132" spans="2:6" x14ac:dyDescent="0.35">
      <c r="B132" t="s">
        <v>287</v>
      </c>
      <c r="C132">
        <v>2113434</v>
      </c>
      <c r="D132" t="s">
        <v>1561</v>
      </c>
      <c r="F132" t="str">
        <f t="shared" si="2"/>
        <v>United States</v>
      </c>
    </row>
    <row r="133" spans="2:6" x14ac:dyDescent="0.35">
      <c r="B133" t="s">
        <v>288</v>
      </c>
      <c r="C133">
        <v>4116099</v>
      </c>
      <c r="D133" t="s">
        <v>1579</v>
      </c>
      <c r="F133" t="str">
        <f t="shared" si="2"/>
        <v>Italy</v>
      </c>
    </row>
    <row r="134" spans="2:6" x14ac:dyDescent="0.35">
      <c r="B134" t="s">
        <v>289</v>
      </c>
      <c r="C134" t="s">
        <v>290</v>
      </c>
      <c r="D134" t="e">
        <v>#N/A</v>
      </c>
      <c r="E134" t="s">
        <v>18</v>
      </c>
      <c r="F134" t="str">
        <f t="shared" si="2"/>
        <v>AUD</v>
      </c>
    </row>
    <row r="135" spans="2:6" x14ac:dyDescent="0.35">
      <c r="B135" t="s">
        <v>291</v>
      </c>
      <c r="C135" t="s">
        <v>292</v>
      </c>
      <c r="D135" t="e">
        <v>#N/A</v>
      </c>
      <c r="E135" t="s">
        <v>18</v>
      </c>
      <c r="F135" t="str">
        <f t="shared" si="2"/>
        <v>AUD</v>
      </c>
    </row>
    <row r="136" spans="2:6" x14ac:dyDescent="0.35">
      <c r="B136" t="s">
        <v>293</v>
      </c>
      <c r="C136">
        <v>6158709</v>
      </c>
      <c r="D136" t="e">
        <v>#N/A</v>
      </c>
      <c r="E136" t="s">
        <v>18</v>
      </c>
      <c r="F136" t="str">
        <f t="shared" si="2"/>
        <v>AUD</v>
      </c>
    </row>
    <row r="137" spans="2:6" x14ac:dyDescent="0.35">
      <c r="B137" t="s">
        <v>294</v>
      </c>
      <c r="C137">
        <v>2126335</v>
      </c>
      <c r="D137" t="s">
        <v>1561</v>
      </c>
      <c r="F137" t="str">
        <f t="shared" si="2"/>
        <v>United States</v>
      </c>
    </row>
    <row r="138" spans="2:6" x14ac:dyDescent="0.35">
      <c r="B138" t="s">
        <v>295</v>
      </c>
      <c r="C138" t="s">
        <v>296</v>
      </c>
      <c r="D138" t="e">
        <v>#N/A</v>
      </c>
      <c r="E138" t="s">
        <v>34</v>
      </c>
      <c r="F138" t="str">
        <f t="shared" si="2"/>
        <v>INR</v>
      </c>
    </row>
    <row r="139" spans="2:6" x14ac:dyDescent="0.35">
      <c r="B139" t="s">
        <v>297</v>
      </c>
      <c r="C139" t="s">
        <v>298</v>
      </c>
      <c r="D139" t="s">
        <v>1561</v>
      </c>
      <c r="F139" t="str">
        <f t="shared" si="2"/>
        <v>United States</v>
      </c>
    </row>
    <row r="140" spans="2:6" x14ac:dyDescent="0.35">
      <c r="B140" t="s">
        <v>299</v>
      </c>
      <c r="C140" t="s">
        <v>300</v>
      </c>
      <c r="D140" t="s">
        <v>1561</v>
      </c>
      <c r="F140" t="str">
        <f t="shared" si="2"/>
        <v>United States</v>
      </c>
    </row>
    <row r="141" spans="2:6" x14ac:dyDescent="0.35">
      <c r="B141" t="s">
        <v>301</v>
      </c>
      <c r="C141">
        <v>6536651</v>
      </c>
      <c r="D141" t="e">
        <v>#N/A</v>
      </c>
      <c r="E141" t="s">
        <v>54</v>
      </c>
      <c r="F141" t="str">
        <f t="shared" si="2"/>
        <v>HKD</v>
      </c>
    </row>
    <row r="142" spans="2:6" x14ac:dyDescent="0.35">
      <c r="B142" t="s">
        <v>302</v>
      </c>
      <c r="C142">
        <v>2170525</v>
      </c>
      <c r="D142" t="s">
        <v>1567</v>
      </c>
      <c r="F142" t="str">
        <f t="shared" si="2"/>
        <v>Canada</v>
      </c>
    </row>
    <row r="143" spans="2:6" x14ac:dyDescent="0.35">
      <c r="B143" t="s">
        <v>303</v>
      </c>
      <c r="C143">
        <v>2172286</v>
      </c>
      <c r="D143" t="s">
        <v>1567</v>
      </c>
      <c r="F143" t="str">
        <f t="shared" si="2"/>
        <v>Canada</v>
      </c>
    </row>
    <row r="144" spans="2:6" x14ac:dyDescent="0.35">
      <c r="B144" t="s">
        <v>304</v>
      </c>
      <c r="C144">
        <v>6172323</v>
      </c>
      <c r="D144" t="s">
        <v>1563</v>
      </c>
      <c r="F144" t="str">
        <f t="shared" si="2"/>
        <v>Japan</v>
      </c>
    </row>
    <row r="145" spans="2:6" x14ac:dyDescent="0.35">
      <c r="B145" t="s">
        <v>305</v>
      </c>
      <c r="C145">
        <v>2654461</v>
      </c>
      <c r="D145" t="s">
        <v>1561</v>
      </c>
      <c r="F145" t="str">
        <f t="shared" si="2"/>
        <v>United States</v>
      </c>
    </row>
    <row r="146" spans="2:6" x14ac:dyDescent="0.35">
      <c r="B146" t="s">
        <v>306</v>
      </c>
      <c r="C146" t="s">
        <v>307</v>
      </c>
      <c r="D146" t="e">
        <v>#N/A</v>
      </c>
      <c r="E146" t="s">
        <v>18</v>
      </c>
      <c r="F146" t="str">
        <f t="shared" si="2"/>
        <v>AUD</v>
      </c>
    </row>
    <row r="147" spans="2:6" x14ac:dyDescent="0.35">
      <c r="B147" t="s">
        <v>308</v>
      </c>
      <c r="C147" t="s">
        <v>309</v>
      </c>
      <c r="D147" t="s">
        <v>1558</v>
      </c>
      <c r="F147" t="str">
        <f t="shared" si="2"/>
        <v>Australia</v>
      </c>
    </row>
    <row r="148" spans="2:6" x14ac:dyDescent="0.35">
      <c r="B148" t="s">
        <v>310</v>
      </c>
      <c r="C148">
        <v>2175672</v>
      </c>
      <c r="D148" t="s">
        <v>1561</v>
      </c>
      <c r="F148" t="str">
        <f t="shared" si="2"/>
        <v>United States</v>
      </c>
    </row>
    <row r="149" spans="2:6" x14ac:dyDescent="0.35">
      <c r="B149" t="s">
        <v>311</v>
      </c>
      <c r="C149">
        <v>2176318</v>
      </c>
      <c r="D149" t="s">
        <v>1561</v>
      </c>
      <c r="F149" t="str">
        <f t="shared" si="2"/>
        <v>United States</v>
      </c>
    </row>
    <row r="150" spans="2:6" x14ac:dyDescent="0.35">
      <c r="B150" t="s">
        <v>312</v>
      </c>
      <c r="C150">
        <v>4169219</v>
      </c>
      <c r="D150" t="s">
        <v>1580</v>
      </c>
      <c r="F150" t="str">
        <f t="shared" si="2"/>
        <v>Denmark</v>
      </c>
    </row>
    <row r="151" spans="2:6" x14ac:dyDescent="0.35">
      <c r="B151" t="s">
        <v>313</v>
      </c>
      <c r="C151" t="s">
        <v>314</v>
      </c>
      <c r="D151" t="s">
        <v>1561</v>
      </c>
      <c r="F151" t="str">
        <f t="shared" si="2"/>
        <v>United States</v>
      </c>
    </row>
    <row r="152" spans="2:6" x14ac:dyDescent="0.35">
      <c r="B152" t="s">
        <v>315</v>
      </c>
      <c r="C152">
        <v>2523044</v>
      </c>
      <c r="D152" t="s">
        <v>1561</v>
      </c>
      <c r="F152" t="str">
        <f t="shared" si="2"/>
        <v>United States</v>
      </c>
    </row>
    <row r="153" spans="2:6" x14ac:dyDescent="0.35">
      <c r="B153" t="s">
        <v>316</v>
      </c>
      <c r="C153">
        <v>2180201</v>
      </c>
      <c r="D153" t="s">
        <v>1561</v>
      </c>
      <c r="F153" t="str">
        <f t="shared" si="2"/>
        <v>United States</v>
      </c>
    </row>
    <row r="154" spans="2:6" x14ac:dyDescent="0.35">
      <c r="B154" t="s">
        <v>317</v>
      </c>
      <c r="C154">
        <v>6425663</v>
      </c>
      <c r="D154" t="s">
        <v>1571</v>
      </c>
      <c r="F154" t="str">
        <f t="shared" si="2"/>
        <v>Taiwan</v>
      </c>
    </row>
    <row r="155" spans="2:6" x14ac:dyDescent="0.35">
      <c r="B155" t="s">
        <v>318</v>
      </c>
      <c r="C155" t="s">
        <v>319</v>
      </c>
      <c r="D155" t="s">
        <v>1561</v>
      </c>
      <c r="F155" t="str">
        <f t="shared" si="2"/>
        <v>United States</v>
      </c>
    </row>
    <row r="156" spans="2:6" x14ac:dyDescent="0.35">
      <c r="B156" t="s">
        <v>320</v>
      </c>
      <c r="C156" t="s">
        <v>321</v>
      </c>
      <c r="D156" t="s">
        <v>1561</v>
      </c>
      <c r="F156" t="str">
        <f t="shared" si="2"/>
        <v>United States</v>
      </c>
    </row>
    <row r="157" spans="2:6" x14ac:dyDescent="0.35">
      <c r="B157" t="s">
        <v>322</v>
      </c>
      <c r="C157">
        <v>2159795</v>
      </c>
      <c r="D157" t="s">
        <v>1567</v>
      </c>
      <c r="F157" t="str">
        <f t="shared" si="2"/>
        <v>Canada</v>
      </c>
    </row>
    <row r="158" spans="2:6" x14ac:dyDescent="0.35">
      <c r="B158" t="s">
        <v>323</v>
      </c>
      <c r="C158">
        <v>6182281</v>
      </c>
      <c r="D158" t="s">
        <v>1558</v>
      </c>
      <c r="F158" t="str">
        <f t="shared" si="2"/>
        <v>Australia</v>
      </c>
    </row>
    <row r="159" spans="2:6" x14ac:dyDescent="0.35">
      <c r="B159" t="s">
        <v>324</v>
      </c>
      <c r="C159" t="s">
        <v>325</v>
      </c>
      <c r="D159" t="s">
        <v>1581</v>
      </c>
      <c r="F159" t="str">
        <f t="shared" si="2"/>
        <v>Chile</v>
      </c>
    </row>
    <row r="160" spans="2:6" x14ac:dyDescent="0.35">
      <c r="B160" t="s">
        <v>326</v>
      </c>
      <c r="C160">
        <v>2807061</v>
      </c>
      <c r="D160" t="s">
        <v>1561</v>
      </c>
      <c r="F160" t="str">
        <f t="shared" si="2"/>
        <v>United States</v>
      </c>
    </row>
    <row r="161" spans="2:6" x14ac:dyDescent="0.35">
      <c r="B161" t="s">
        <v>327</v>
      </c>
      <c r="C161" t="s">
        <v>328</v>
      </c>
      <c r="D161" t="s">
        <v>1559</v>
      </c>
      <c r="F161" t="str">
        <f t="shared" si="2"/>
        <v>United Kingdom</v>
      </c>
    </row>
    <row r="162" spans="2:6" x14ac:dyDescent="0.35">
      <c r="B162" t="s">
        <v>329</v>
      </c>
      <c r="C162" t="s">
        <v>330</v>
      </c>
      <c r="D162" t="e">
        <v>#N/A</v>
      </c>
      <c r="E162" t="s">
        <v>50</v>
      </c>
      <c r="F162" t="str">
        <f t="shared" si="2"/>
        <v>CNY</v>
      </c>
    </row>
    <row r="163" spans="2:6" x14ac:dyDescent="0.35">
      <c r="B163" t="s">
        <v>331</v>
      </c>
      <c r="C163" t="s">
        <v>332</v>
      </c>
      <c r="D163" t="e">
        <v>#N/A</v>
      </c>
      <c r="E163" t="s">
        <v>54</v>
      </c>
      <c r="F163" t="str">
        <f t="shared" si="2"/>
        <v>HKD</v>
      </c>
    </row>
    <row r="164" spans="2:6" x14ac:dyDescent="0.35">
      <c r="B164" t="s">
        <v>333</v>
      </c>
      <c r="C164">
        <v>6726300</v>
      </c>
      <c r="D164" t="s">
        <v>1558</v>
      </c>
      <c r="F164" t="str">
        <f t="shared" si="2"/>
        <v>Australia</v>
      </c>
    </row>
    <row r="165" spans="2:6" x14ac:dyDescent="0.35">
      <c r="B165" t="s">
        <v>334</v>
      </c>
      <c r="C165" t="s">
        <v>335</v>
      </c>
      <c r="D165" t="e">
        <v>#N/A</v>
      </c>
      <c r="E165" t="s">
        <v>18</v>
      </c>
      <c r="F165" t="str">
        <f t="shared" si="2"/>
        <v>AUD</v>
      </c>
    </row>
    <row r="166" spans="2:6" x14ac:dyDescent="0.35">
      <c r="B166" t="s">
        <v>336</v>
      </c>
      <c r="C166" t="s">
        <v>337</v>
      </c>
      <c r="D166" t="e">
        <v>#N/A</v>
      </c>
      <c r="E166" t="s">
        <v>1547</v>
      </c>
      <c r="F166" t="str">
        <f t="shared" si="2"/>
        <v>CA</v>
      </c>
    </row>
    <row r="167" spans="2:6" x14ac:dyDescent="0.35">
      <c r="B167" t="s">
        <v>338</v>
      </c>
      <c r="C167">
        <v>2838555</v>
      </c>
      <c r="D167" t="s">
        <v>1561</v>
      </c>
      <c r="F167" t="str">
        <f t="shared" si="2"/>
        <v>United States</v>
      </c>
    </row>
    <row r="168" spans="2:6" x14ac:dyDescent="0.35">
      <c r="B168" t="s">
        <v>339</v>
      </c>
      <c r="C168" t="s">
        <v>340</v>
      </c>
      <c r="D168" t="s">
        <v>1569</v>
      </c>
      <c r="F168" t="str">
        <f t="shared" si="2"/>
        <v>China</v>
      </c>
    </row>
    <row r="169" spans="2:6" x14ac:dyDescent="0.35">
      <c r="B169" t="s">
        <v>341</v>
      </c>
      <c r="C169" t="s">
        <v>342</v>
      </c>
      <c r="D169" t="s">
        <v>1569</v>
      </c>
      <c r="F169" t="str">
        <f t="shared" si="2"/>
        <v>China</v>
      </c>
    </row>
    <row r="170" spans="2:6" x14ac:dyDescent="0.35">
      <c r="B170" t="s">
        <v>343</v>
      </c>
      <c r="C170" t="s">
        <v>344</v>
      </c>
      <c r="D170" t="e">
        <v>#N/A</v>
      </c>
      <c r="E170" t="s">
        <v>54</v>
      </c>
      <c r="F170" t="str">
        <f t="shared" si="2"/>
        <v>HKD</v>
      </c>
    </row>
    <row r="171" spans="2:6" x14ac:dyDescent="0.35">
      <c r="B171" t="s">
        <v>345</v>
      </c>
      <c r="C171" t="s">
        <v>346</v>
      </c>
      <c r="D171" t="e">
        <v>#N/A</v>
      </c>
      <c r="E171" t="s">
        <v>1545</v>
      </c>
      <c r="F171" t="str">
        <f t="shared" si="2"/>
        <v>CN</v>
      </c>
    </row>
    <row r="172" spans="2:6" x14ac:dyDescent="0.35">
      <c r="B172" t="s">
        <v>347</v>
      </c>
      <c r="C172">
        <v>6192150</v>
      </c>
      <c r="D172" t="e">
        <v>#N/A</v>
      </c>
      <c r="E172" t="s">
        <v>1546</v>
      </c>
      <c r="F172" t="str">
        <f t="shared" si="2"/>
        <v>HK</v>
      </c>
    </row>
    <row r="173" spans="2:6" x14ac:dyDescent="0.35">
      <c r="B173" t="s">
        <v>348</v>
      </c>
      <c r="C173">
        <v>6535517</v>
      </c>
      <c r="D173" t="e">
        <v>#N/A</v>
      </c>
      <c r="E173" t="s">
        <v>54</v>
      </c>
      <c r="F173" t="str">
        <f t="shared" si="2"/>
        <v>HKD</v>
      </c>
    </row>
    <row r="174" spans="2:6" x14ac:dyDescent="0.35">
      <c r="B174" t="s">
        <v>349</v>
      </c>
      <c r="C174">
        <v>6193766</v>
      </c>
      <c r="D174" t="e">
        <v>#N/A</v>
      </c>
      <c r="E174" t="s">
        <v>54</v>
      </c>
      <c r="F174" t="str">
        <f t="shared" si="2"/>
        <v>HKD</v>
      </c>
    </row>
    <row r="175" spans="2:6" x14ac:dyDescent="0.35">
      <c r="B175" t="s">
        <v>350</v>
      </c>
      <c r="C175" t="s">
        <v>351</v>
      </c>
      <c r="D175" t="s">
        <v>1561</v>
      </c>
      <c r="F175" t="str">
        <f t="shared" si="2"/>
        <v>United States</v>
      </c>
    </row>
    <row r="176" spans="2:6" x14ac:dyDescent="0.35">
      <c r="B176" t="s">
        <v>352</v>
      </c>
      <c r="C176">
        <v>5962280</v>
      </c>
      <c r="D176" t="e">
        <v>#N/A</v>
      </c>
      <c r="E176" t="s">
        <v>1548</v>
      </c>
      <c r="F176" t="str">
        <f t="shared" si="2"/>
        <v>CH</v>
      </c>
    </row>
    <row r="177" spans="2:6" x14ac:dyDescent="0.35">
      <c r="B177" t="s">
        <v>352</v>
      </c>
      <c r="C177">
        <v>5962309</v>
      </c>
      <c r="D177" t="s">
        <v>1560</v>
      </c>
      <c r="F177" t="str">
        <f t="shared" si="2"/>
        <v>Switzerland</v>
      </c>
    </row>
    <row r="178" spans="2:6" x14ac:dyDescent="0.35">
      <c r="B178" t="s">
        <v>353</v>
      </c>
      <c r="C178" t="s">
        <v>354</v>
      </c>
      <c r="D178" t="e">
        <v>#N/A</v>
      </c>
      <c r="E178" t="s">
        <v>57</v>
      </c>
      <c r="F178" t="str">
        <f t="shared" si="2"/>
        <v>NZD</v>
      </c>
    </row>
    <row r="179" spans="2:6" x14ac:dyDescent="0.35">
      <c r="B179" t="s">
        <v>355</v>
      </c>
      <c r="C179" t="s">
        <v>356</v>
      </c>
      <c r="D179" t="s">
        <v>1561</v>
      </c>
      <c r="F179" t="str">
        <f t="shared" si="2"/>
        <v>United States</v>
      </c>
    </row>
    <row r="180" spans="2:6" x14ac:dyDescent="0.35">
      <c r="B180" t="s">
        <v>357</v>
      </c>
      <c r="C180">
        <v>6195609</v>
      </c>
      <c r="D180" t="s">
        <v>1563</v>
      </c>
      <c r="F180" t="str">
        <f t="shared" si="2"/>
        <v>Japan</v>
      </c>
    </row>
    <row r="181" spans="2:6" x14ac:dyDescent="0.35">
      <c r="B181" t="s">
        <v>358</v>
      </c>
      <c r="C181" t="s">
        <v>359</v>
      </c>
      <c r="D181" t="e">
        <v>#N/A</v>
      </c>
      <c r="E181" t="s">
        <v>26</v>
      </c>
      <c r="F181" t="str">
        <f t="shared" si="2"/>
        <v>BRL</v>
      </c>
    </row>
    <row r="182" spans="2:6" x14ac:dyDescent="0.35">
      <c r="B182" t="s">
        <v>360</v>
      </c>
      <c r="C182" t="s">
        <v>361</v>
      </c>
      <c r="D182" t="s">
        <v>1582</v>
      </c>
      <c r="F182" t="str">
        <f t="shared" si="2"/>
        <v>Brazil</v>
      </c>
    </row>
    <row r="183" spans="2:6" x14ac:dyDescent="0.35">
      <c r="B183" t="s">
        <v>362</v>
      </c>
      <c r="C183">
        <v>2200154</v>
      </c>
      <c r="D183" t="e">
        <v>#N/A</v>
      </c>
      <c r="E183" t="s">
        <v>26</v>
      </c>
      <c r="F183" t="str">
        <f t="shared" si="2"/>
        <v>BRL</v>
      </c>
    </row>
    <row r="184" spans="2:6" x14ac:dyDescent="0.35">
      <c r="B184" t="s">
        <v>363</v>
      </c>
      <c r="C184">
        <v>7380482</v>
      </c>
      <c r="D184" t="s">
        <v>1572</v>
      </c>
      <c r="F184" t="str">
        <f t="shared" si="2"/>
        <v>France</v>
      </c>
    </row>
    <row r="185" spans="2:6" x14ac:dyDescent="0.35">
      <c r="B185" t="s">
        <v>364</v>
      </c>
      <c r="C185" t="s">
        <v>365</v>
      </c>
      <c r="D185" t="s">
        <v>1561</v>
      </c>
      <c r="F185" t="str">
        <f t="shared" si="2"/>
        <v>United States</v>
      </c>
    </row>
    <row r="186" spans="2:6" x14ac:dyDescent="0.35">
      <c r="B186" t="s">
        <v>366</v>
      </c>
      <c r="C186">
        <v>6075745</v>
      </c>
      <c r="D186" t="s">
        <v>1583</v>
      </c>
      <c r="F186" t="str">
        <f t="shared" si="2"/>
        <v>Malaysia</v>
      </c>
    </row>
    <row r="187" spans="2:6" x14ac:dyDescent="0.35">
      <c r="B187" t="s">
        <v>367</v>
      </c>
      <c r="C187">
        <v>2196888</v>
      </c>
      <c r="D187" t="s">
        <v>1561</v>
      </c>
      <c r="F187" t="str">
        <f t="shared" si="2"/>
        <v>United States</v>
      </c>
    </row>
    <row r="188" spans="2:6" x14ac:dyDescent="0.35">
      <c r="B188" t="s">
        <v>368</v>
      </c>
      <c r="C188">
        <v>2197137</v>
      </c>
      <c r="D188" t="s">
        <v>1561</v>
      </c>
      <c r="F188" t="str">
        <f t="shared" si="2"/>
        <v>United States</v>
      </c>
    </row>
    <row r="189" spans="2:6" x14ac:dyDescent="0.35">
      <c r="B189" t="s">
        <v>369</v>
      </c>
      <c r="C189" t="s">
        <v>370</v>
      </c>
      <c r="D189" t="e">
        <v>#N/A</v>
      </c>
      <c r="E189" t="s">
        <v>34</v>
      </c>
      <c r="F189" t="str">
        <f t="shared" si="2"/>
        <v>INR</v>
      </c>
    </row>
    <row r="190" spans="2:6" x14ac:dyDescent="0.35">
      <c r="B190" t="s">
        <v>371</v>
      </c>
      <c r="C190">
        <v>2198163</v>
      </c>
      <c r="D190" t="s">
        <v>1561</v>
      </c>
      <c r="F190" t="str">
        <f t="shared" si="2"/>
        <v>United States</v>
      </c>
    </row>
    <row r="191" spans="2:6" x14ac:dyDescent="0.35">
      <c r="B191" t="s">
        <v>372</v>
      </c>
      <c r="C191">
        <v>2297907</v>
      </c>
      <c r="D191" t="s">
        <v>1561</v>
      </c>
      <c r="F191" t="str">
        <f t="shared" si="2"/>
        <v>United States</v>
      </c>
    </row>
    <row r="192" spans="2:6" x14ac:dyDescent="0.35">
      <c r="B192" t="s">
        <v>373</v>
      </c>
      <c r="C192" t="s">
        <v>374</v>
      </c>
      <c r="D192" t="s">
        <v>1561</v>
      </c>
      <c r="F192" t="str">
        <f t="shared" si="2"/>
        <v>United States</v>
      </c>
    </row>
    <row r="193" spans="2:6" x14ac:dyDescent="0.35">
      <c r="B193" t="s">
        <v>375</v>
      </c>
      <c r="C193" t="s">
        <v>376</v>
      </c>
      <c r="D193" t="s">
        <v>1568</v>
      </c>
      <c r="F193" t="str">
        <f t="shared" si="2"/>
        <v>Hong Kong</v>
      </c>
    </row>
    <row r="194" spans="2:6" x14ac:dyDescent="0.35">
      <c r="B194" t="s">
        <v>377</v>
      </c>
      <c r="C194" t="s">
        <v>378</v>
      </c>
      <c r="D194" t="s">
        <v>1558</v>
      </c>
      <c r="F194" t="str">
        <f t="shared" si="2"/>
        <v>Australia</v>
      </c>
    </row>
    <row r="195" spans="2:6" x14ac:dyDescent="0.35">
      <c r="B195" t="s">
        <v>379</v>
      </c>
      <c r="C195">
        <v>2204026</v>
      </c>
      <c r="D195" t="s">
        <v>1561</v>
      </c>
      <c r="F195" t="str">
        <f t="shared" ref="F195:F258" si="3">_xlfn.IFNA(D195,E195)</f>
        <v>United States</v>
      </c>
    </row>
    <row r="196" spans="2:6" x14ac:dyDescent="0.35">
      <c r="B196" t="s">
        <v>380</v>
      </c>
      <c r="C196" t="s">
        <v>381</v>
      </c>
      <c r="D196" t="s">
        <v>1561</v>
      </c>
      <c r="F196" t="str">
        <f t="shared" si="3"/>
        <v>United States</v>
      </c>
    </row>
    <row r="197" spans="2:6" x14ac:dyDescent="0.35">
      <c r="B197" t="s">
        <v>382</v>
      </c>
      <c r="C197">
        <v>2965839</v>
      </c>
      <c r="D197" t="s">
        <v>1561</v>
      </c>
      <c r="F197" t="str">
        <f t="shared" si="3"/>
        <v>United States</v>
      </c>
    </row>
    <row r="198" spans="2:6" x14ac:dyDescent="0.35">
      <c r="B198" t="s">
        <v>383</v>
      </c>
      <c r="C198" t="s">
        <v>384</v>
      </c>
      <c r="D198" t="e">
        <v>#N/A</v>
      </c>
      <c r="E198" t="s">
        <v>50</v>
      </c>
      <c r="F198" t="str">
        <f t="shared" si="3"/>
        <v>CNY</v>
      </c>
    </row>
    <row r="199" spans="2:6" x14ac:dyDescent="0.35">
      <c r="B199" t="s">
        <v>385</v>
      </c>
      <c r="C199">
        <v>2206657</v>
      </c>
      <c r="D199" t="s">
        <v>1561</v>
      </c>
      <c r="F199" t="str">
        <f t="shared" si="3"/>
        <v>United States</v>
      </c>
    </row>
    <row r="200" spans="2:6" x14ac:dyDescent="0.35">
      <c r="B200" t="s">
        <v>386</v>
      </c>
      <c r="C200" t="s">
        <v>387</v>
      </c>
      <c r="D200" t="s">
        <v>1559</v>
      </c>
      <c r="F200" t="str">
        <f t="shared" si="3"/>
        <v>United Kingdom</v>
      </c>
    </row>
    <row r="201" spans="2:6" x14ac:dyDescent="0.35">
      <c r="B201" t="s">
        <v>388</v>
      </c>
      <c r="C201" t="s">
        <v>389</v>
      </c>
      <c r="D201" t="s">
        <v>1584</v>
      </c>
      <c r="F201" t="str">
        <f t="shared" si="3"/>
        <v>Mexico</v>
      </c>
    </row>
    <row r="202" spans="2:6" x14ac:dyDescent="0.35">
      <c r="B202" t="s">
        <v>390</v>
      </c>
      <c r="C202" t="s">
        <v>391</v>
      </c>
      <c r="D202" t="s">
        <v>1559</v>
      </c>
      <c r="F202" t="str">
        <f t="shared" si="3"/>
        <v>United Kingdom</v>
      </c>
    </row>
    <row r="203" spans="2:6" x14ac:dyDescent="0.35">
      <c r="B203" t="s">
        <v>392</v>
      </c>
      <c r="C203">
        <v>6211798</v>
      </c>
      <c r="D203" t="s">
        <v>1558</v>
      </c>
      <c r="F203" t="str">
        <f t="shared" si="3"/>
        <v>Australia</v>
      </c>
    </row>
    <row r="204" spans="2:6" x14ac:dyDescent="0.35">
      <c r="B204" t="s">
        <v>393</v>
      </c>
      <c r="C204">
        <v>6712611</v>
      </c>
      <c r="D204" t="e">
        <v>#N/A</v>
      </c>
      <c r="E204" t="s">
        <v>18</v>
      </c>
      <c r="F204" t="str">
        <f t="shared" si="3"/>
        <v>AUD</v>
      </c>
    </row>
    <row r="205" spans="2:6" x14ac:dyDescent="0.35">
      <c r="B205" t="s">
        <v>394</v>
      </c>
      <c r="C205" t="s">
        <v>395</v>
      </c>
      <c r="D205" t="s">
        <v>1558</v>
      </c>
      <c r="F205" t="str">
        <f t="shared" si="3"/>
        <v>Australia</v>
      </c>
    </row>
    <row r="206" spans="2:6" x14ac:dyDescent="0.35">
      <c r="B206" t="s">
        <v>396</v>
      </c>
      <c r="C206">
        <v>2209106</v>
      </c>
      <c r="D206" t="s">
        <v>1561</v>
      </c>
      <c r="F206" t="str">
        <f t="shared" si="3"/>
        <v>United States</v>
      </c>
    </row>
    <row r="207" spans="2:6" x14ac:dyDescent="0.35">
      <c r="B207" t="s">
        <v>397</v>
      </c>
      <c r="C207">
        <v>6139696</v>
      </c>
      <c r="D207" t="e">
        <v>#N/A</v>
      </c>
      <c r="E207" t="s">
        <v>34</v>
      </c>
      <c r="F207" t="str">
        <f t="shared" si="3"/>
        <v>INR</v>
      </c>
    </row>
    <row r="208" spans="2:6" x14ac:dyDescent="0.35">
      <c r="B208" t="s">
        <v>398</v>
      </c>
      <c r="C208" t="s">
        <v>399</v>
      </c>
      <c r="D208" t="e">
        <v>#N/A</v>
      </c>
      <c r="E208" t="s">
        <v>18</v>
      </c>
      <c r="F208" t="str">
        <f t="shared" si="3"/>
        <v>AUD</v>
      </c>
    </row>
    <row r="209" spans="2:6" x14ac:dyDescent="0.35">
      <c r="B209" t="s">
        <v>400</v>
      </c>
      <c r="C209">
        <v>2044545</v>
      </c>
      <c r="D209" t="s">
        <v>1561</v>
      </c>
      <c r="F209" t="str">
        <f t="shared" si="3"/>
        <v>United States</v>
      </c>
    </row>
    <row r="210" spans="2:6" x14ac:dyDescent="0.35">
      <c r="B210" t="s">
        <v>401</v>
      </c>
      <c r="C210" t="s">
        <v>402</v>
      </c>
      <c r="D210" t="s">
        <v>1570</v>
      </c>
      <c r="F210" t="str">
        <f t="shared" si="3"/>
        <v>Germany</v>
      </c>
    </row>
    <row r="211" spans="2:6" x14ac:dyDescent="0.35">
      <c r="B211" t="s">
        <v>403</v>
      </c>
      <c r="C211">
        <v>6215035</v>
      </c>
      <c r="D211" t="s">
        <v>1558</v>
      </c>
      <c r="F211" t="str">
        <f t="shared" si="3"/>
        <v>Australia</v>
      </c>
    </row>
    <row r="212" spans="2:6" x14ac:dyDescent="0.35">
      <c r="B212" t="s">
        <v>404</v>
      </c>
      <c r="C212" t="s">
        <v>405</v>
      </c>
      <c r="D212" t="s">
        <v>1559</v>
      </c>
      <c r="F212" t="str">
        <f t="shared" si="3"/>
        <v>United Kingdom</v>
      </c>
    </row>
    <row r="213" spans="2:6" x14ac:dyDescent="0.35">
      <c r="B213" t="s">
        <v>406</v>
      </c>
      <c r="C213">
        <v>6180412</v>
      </c>
      <c r="D213" t="s">
        <v>1558</v>
      </c>
      <c r="F213" t="str">
        <f t="shared" si="3"/>
        <v>Australia</v>
      </c>
    </row>
    <row r="214" spans="2:6" x14ac:dyDescent="0.35">
      <c r="B214" t="s">
        <v>407</v>
      </c>
      <c r="C214">
        <v>2685717</v>
      </c>
      <c r="D214" t="s">
        <v>1561</v>
      </c>
      <c r="F214" t="str">
        <f t="shared" si="3"/>
        <v>United States</v>
      </c>
    </row>
    <row r="215" spans="2:6" x14ac:dyDescent="0.35">
      <c r="B215" t="s">
        <v>408</v>
      </c>
      <c r="C215">
        <v>2216850</v>
      </c>
      <c r="D215" t="s">
        <v>1561</v>
      </c>
      <c r="F215" t="str">
        <f t="shared" si="3"/>
        <v>United States</v>
      </c>
    </row>
    <row r="216" spans="2:6" x14ac:dyDescent="0.35">
      <c r="B216" t="s">
        <v>409</v>
      </c>
      <c r="C216" t="s">
        <v>410</v>
      </c>
      <c r="D216" t="s">
        <v>1569</v>
      </c>
      <c r="F216" t="str">
        <f t="shared" si="3"/>
        <v>China</v>
      </c>
    </row>
    <row r="217" spans="2:6" x14ac:dyDescent="0.35">
      <c r="B217" t="s">
        <v>411</v>
      </c>
      <c r="C217" t="s">
        <v>412</v>
      </c>
      <c r="D217" t="s">
        <v>1561</v>
      </c>
      <c r="F217" t="str">
        <f t="shared" si="3"/>
        <v>United States</v>
      </c>
    </row>
    <row r="218" spans="2:6" x14ac:dyDescent="0.35">
      <c r="B218" t="s">
        <v>413</v>
      </c>
      <c r="C218" t="s">
        <v>414</v>
      </c>
      <c r="D218" t="s">
        <v>1561</v>
      </c>
      <c r="F218" t="str">
        <f t="shared" si="3"/>
        <v>United States</v>
      </c>
    </row>
    <row r="219" spans="2:6" x14ac:dyDescent="0.35">
      <c r="B219" t="s">
        <v>415</v>
      </c>
      <c r="C219" t="s">
        <v>416</v>
      </c>
      <c r="D219" t="s">
        <v>1561</v>
      </c>
      <c r="F219" t="str">
        <f t="shared" si="3"/>
        <v>United States</v>
      </c>
    </row>
    <row r="220" spans="2:6" x14ac:dyDescent="0.35">
      <c r="B220" t="s">
        <v>417</v>
      </c>
      <c r="C220">
        <v>2701271</v>
      </c>
      <c r="D220" t="s">
        <v>1561</v>
      </c>
      <c r="F220" t="str">
        <f t="shared" si="3"/>
        <v>United States</v>
      </c>
    </row>
    <row r="221" spans="2:6" x14ac:dyDescent="0.35">
      <c r="B221" t="s">
        <v>418</v>
      </c>
      <c r="C221" t="s">
        <v>419</v>
      </c>
      <c r="D221" t="s">
        <v>1561</v>
      </c>
      <c r="F221" t="str">
        <f t="shared" si="3"/>
        <v>United States</v>
      </c>
    </row>
    <row r="222" spans="2:6" x14ac:dyDescent="0.35">
      <c r="B222" t="s">
        <v>420</v>
      </c>
      <c r="C222">
        <v>6173401</v>
      </c>
      <c r="D222" t="s">
        <v>1585</v>
      </c>
      <c r="F222" t="str">
        <f t="shared" si="3"/>
        <v>South Korea</v>
      </c>
    </row>
    <row r="223" spans="2:6" x14ac:dyDescent="0.35">
      <c r="B223" t="s">
        <v>421</v>
      </c>
      <c r="C223" t="s">
        <v>422</v>
      </c>
      <c r="D223" t="e">
        <v>#N/A</v>
      </c>
      <c r="E223" t="s">
        <v>26</v>
      </c>
      <c r="F223" t="str">
        <f t="shared" si="3"/>
        <v>BRL</v>
      </c>
    </row>
    <row r="224" spans="2:6" x14ac:dyDescent="0.35">
      <c r="B224" t="s">
        <v>423</v>
      </c>
      <c r="C224">
        <v>2232878</v>
      </c>
      <c r="D224" t="s">
        <v>1586</v>
      </c>
      <c r="F224" t="str">
        <f t="shared" si="3"/>
        <v>Peru</v>
      </c>
    </row>
    <row r="225" spans="2:6" x14ac:dyDescent="0.35">
      <c r="B225" t="s">
        <v>424</v>
      </c>
      <c r="C225">
        <v>6287658</v>
      </c>
      <c r="D225" t="e">
        <v>#N/A</v>
      </c>
      <c r="E225" t="s">
        <v>18</v>
      </c>
      <c r="F225" t="str">
        <f t="shared" si="3"/>
        <v>AUD</v>
      </c>
    </row>
    <row r="226" spans="2:6" x14ac:dyDescent="0.35">
      <c r="B226" t="s">
        <v>425</v>
      </c>
      <c r="C226" t="s">
        <v>426</v>
      </c>
      <c r="D226" t="e">
        <v>#N/A</v>
      </c>
      <c r="E226" t="s">
        <v>18</v>
      </c>
      <c r="F226" t="str">
        <f t="shared" si="3"/>
        <v>AUD</v>
      </c>
    </row>
    <row r="227" spans="2:6" x14ac:dyDescent="0.35">
      <c r="B227" t="s">
        <v>427</v>
      </c>
      <c r="C227">
        <v>6527666</v>
      </c>
      <c r="D227" t="s">
        <v>1571</v>
      </c>
      <c r="F227" t="str">
        <f t="shared" si="3"/>
        <v>Taiwan</v>
      </c>
    </row>
    <row r="228" spans="2:6" x14ac:dyDescent="0.35">
      <c r="B228" t="s">
        <v>428</v>
      </c>
      <c r="C228">
        <v>2240202</v>
      </c>
      <c r="D228" t="s">
        <v>1561</v>
      </c>
      <c r="F228" t="str">
        <f t="shared" si="3"/>
        <v>United States</v>
      </c>
    </row>
    <row r="229" spans="2:6" x14ac:dyDescent="0.35">
      <c r="B229" t="s">
        <v>429</v>
      </c>
      <c r="C229">
        <v>6250906</v>
      </c>
      <c r="D229" t="s">
        <v>1563</v>
      </c>
      <c r="F229" t="str">
        <f t="shared" si="3"/>
        <v>Japan</v>
      </c>
    </row>
    <row r="230" spans="2:6" x14ac:dyDescent="0.35">
      <c r="B230" t="s">
        <v>430</v>
      </c>
      <c r="C230" t="s">
        <v>431</v>
      </c>
      <c r="D230" t="s">
        <v>1570</v>
      </c>
      <c r="F230" t="str">
        <f t="shared" si="3"/>
        <v>Germany</v>
      </c>
    </row>
    <row r="231" spans="2:6" x14ac:dyDescent="0.35">
      <c r="B231" t="s">
        <v>432</v>
      </c>
      <c r="C231">
        <v>6250508</v>
      </c>
      <c r="D231" t="s">
        <v>1563</v>
      </c>
      <c r="F231" t="str">
        <f t="shared" si="3"/>
        <v>Japan</v>
      </c>
    </row>
    <row r="232" spans="2:6" x14ac:dyDescent="0.35">
      <c r="B232" t="s">
        <v>433</v>
      </c>
      <c r="C232">
        <v>6251363</v>
      </c>
      <c r="D232" t="s">
        <v>1563</v>
      </c>
      <c r="F232" t="str">
        <f t="shared" si="3"/>
        <v>Japan</v>
      </c>
    </row>
    <row r="233" spans="2:6" x14ac:dyDescent="0.35">
      <c r="B233" t="s">
        <v>434</v>
      </c>
      <c r="C233">
        <v>2250870</v>
      </c>
      <c r="D233" t="s">
        <v>1561</v>
      </c>
      <c r="F233" t="str">
        <f t="shared" si="3"/>
        <v>United States</v>
      </c>
    </row>
    <row r="234" spans="2:6" x14ac:dyDescent="0.35">
      <c r="B234" t="s">
        <v>435</v>
      </c>
      <c r="C234" t="s">
        <v>436</v>
      </c>
      <c r="D234" t="s">
        <v>1572</v>
      </c>
      <c r="F234" t="str">
        <f t="shared" si="3"/>
        <v>France</v>
      </c>
    </row>
    <row r="235" spans="2:6" x14ac:dyDescent="0.35">
      <c r="B235" t="s">
        <v>437</v>
      </c>
      <c r="C235">
        <v>4588825</v>
      </c>
      <c r="D235" t="s">
        <v>1580</v>
      </c>
      <c r="F235" t="str">
        <f t="shared" si="3"/>
        <v>Denmark</v>
      </c>
    </row>
    <row r="236" spans="2:6" x14ac:dyDescent="0.35">
      <c r="B236" t="s">
        <v>438</v>
      </c>
      <c r="C236">
        <v>6093015</v>
      </c>
      <c r="D236" t="e">
        <v>#N/A</v>
      </c>
      <c r="E236" t="s">
        <v>18</v>
      </c>
      <c r="F236" t="str">
        <f t="shared" si="3"/>
        <v>AUD</v>
      </c>
    </row>
    <row r="237" spans="2:6" x14ac:dyDescent="0.35">
      <c r="B237" t="s">
        <v>439</v>
      </c>
      <c r="C237" t="s">
        <v>440</v>
      </c>
      <c r="D237" t="s">
        <v>1561</v>
      </c>
      <c r="F237" t="str">
        <f t="shared" si="3"/>
        <v>United States</v>
      </c>
    </row>
    <row r="238" spans="2:6" x14ac:dyDescent="0.35">
      <c r="B238" t="s">
        <v>441</v>
      </c>
      <c r="C238">
        <v>2898087</v>
      </c>
      <c r="D238" t="e">
        <v>#N/A</v>
      </c>
      <c r="E238" t="s">
        <v>21</v>
      </c>
      <c r="F238" t="str">
        <f t="shared" si="3"/>
        <v>USD</v>
      </c>
    </row>
    <row r="239" spans="2:6" x14ac:dyDescent="0.35">
      <c r="B239" t="s">
        <v>442</v>
      </c>
      <c r="C239">
        <v>6155937</v>
      </c>
      <c r="D239" t="s">
        <v>1585</v>
      </c>
      <c r="F239" t="str">
        <f t="shared" si="3"/>
        <v>South Korea</v>
      </c>
    </row>
    <row r="240" spans="2:6" x14ac:dyDescent="0.35">
      <c r="B240" t="s">
        <v>443</v>
      </c>
      <c r="C240">
        <v>6175203</v>
      </c>
      <c r="D240" t="s">
        <v>1587</v>
      </c>
      <c r="F240" t="str">
        <f t="shared" si="3"/>
        <v>Singapore</v>
      </c>
    </row>
    <row r="241" spans="2:6" x14ac:dyDescent="0.35">
      <c r="B241" t="s">
        <v>444</v>
      </c>
      <c r="C241">
        <v>2267278</v>
      </c>
      <c r="D241" t="s">
        <v>1561</v>
      </c>
      <c r="F241" t="str">
        <f t="shared" si="3"/>
        <v>United States</v>
      </c>
    </row>
    <row r="242" spans="2:6" x14ac:dyDescent="0.35">
      <c r="B242" t="s">
        <v>445</v>
      </c>
      <c r="C242" t="s">
        <v>446</v>
      </c>
      <c r="D242" t="s">
        <v>1561</v>
      </c>
      <c r="F242" t="str">
        <f t="shared" si="3"/>
        <v>United States</v>
      </c>
    </row>
    <row r="243" spans="2:6" x14ac:dyDescent="0.35">
      <c r="B243" t="s">
        <v>447</v>
      </c>
      <c r="C243" t="s">
        <v>448</v>
      </c>
      <c r="D243" t="s">
        <v>1561</v>
      </c>
      <c r="F243" t="str">
        <f t="shared" si="3"/>
        <v>United States</v>
      </c>
    </row>
    <row r="244" spans="2:6" x14ac:dyDescent="0.35">
      <c r="B244" t="s">
        <v>449</v>
      </c>
      <c r="C244">
        <v>6260734</v>
      </c>
      <c r="D244" t="e">
        <v>#N/A</v>
      </c>
      <c r="E244" t="s">
        <v>1535</v>
      </c>
      <c r="F244" t="str">
        <f t="shared" si="3"/>
        <v>TWD</v>
      </c>
    </row>
    <row r="245" spans="2:6" x14ac:dyDescent="0.35">
      <c r="B245" t="s">
        <v>450</v>
      </c>
      <c r="C245" t="s">
        <v>451</v>
      </c>
      <c r="D245" t="s">
        <v>1580</v>
      </c>
      <c r="F245" t="str">
        <f t="shared" si="3"/>
        <v>Denmark</v>
      </c>
    </row>
    <row r="246" spans="2:6" x14ac:dyDescent="0.35">
      <c r="B246" t="s">
        <v>452</v>
      </c>
      <c r="C246" t="s">
        <v>453</v>
      </c>
      <c r="D246" t="e">
        <v>#N/A</v>
      </c>
      <c r="E246" t="s">
        <v>18</v>
      </c>
      <c r="F246" t="str">
        <f t="shared" si="3"/>
        <v>AUD</v>
      </c>
    </row>
    <row r="247" spans="2:6" x14ac:dyDescent="0.35">
      <c r="B247" t="s">
        <v>454</v>
      </c>
      <c r="C247">
        <v>5750355</v>
      </c>
      <c r="D247" t="s">
        <v>1570</v>
      </c>
      <c r="F247" t="str">
        <f t="shared" si="3"/>
        <v>Germany</v>
      </c>
    </row>
    <row r="248" spans="2:6" x14ac:dyDescent="0.35">
      <c r="B248" t="s">
        <v>455</v>
      </c>
      <c r="C248">
        <v>4617859</v>
      </c>
      <c r="D248" t="s">
        <v>1570</v>
      </c>
      <c r="F248" t="str">
        <f t="shared" si="3"/>
        <v>Germany</v>
      </c>
    </row>
    <row r="249" spans="2:6" x14ac:dyDescent="0.35">
      <c r="B249" t="s">
        <v>456</v>
      </c>
      <c r="C249">
        <v>5842359</v>
      </c>
      <c r="D249" t="s">
        <v>1570</v>
      </c>
      <c r="F249" t="str">
        <f t="shared" si="3"/>
        <v>Germany</v>
      </c>
    </row>
    <row r="250" spans="2:6" x14ac:dyDescent="0.35">
      <c r="B250" t="s">
        <v>457</v>
      </c>
      <c r="C250" t="s">
        <v>458</v>
      </c>
      <c r="D250" t="s">
        <v>1561</v>
      </c>
      <c r="F250" t="str">
        <f t="shared" si="3"/>
        <v>United States</v>
      </c>
    </row>
    <row r="251" spans="2:6" x14ac:dyDescent="0.35">
      <c r="B251" t="s">
        <v>459</v>
      </c>
      <c r="C251" t="s">
        <v>460</v>
      </c>
      <c r="D251" t="e">
        <v>#N/A</v>
      </c>
      <c r="E251" t="s">
        <v>18</v>
      </c>
      <c r="F251" t="str">
        <f t="shared" si="3"/>
        <v>AUD</v>
      </c>
    </row>
    <row r="252" spans="2:6" x14ac:dyDescent="0.35">
      <c r="B252" t="s">
        <v>461</v>
      </c>
      <c r="C252">
        <v>2969637</v>
      </c>
      <c r="D252" t="s">
        <v>1561</v>
      </c>
      <c r="F252" t="str">
        <f t="shared" si="3"/>
        <v>United States</v>
      </c>
    </row>
    <row r="253" spans="2:6" x14ac:dyDescent="0.35">
      <c r="B253" t="s">
        <v>462</v>
      </c>
      <c r="C253" t="s">
        <v>463</v>
      </c>
      <c r="D253" t="e">
        <v>#N/A</v>
      </c>
      <c r="E253" t="s">
        <v>38</v>
      </c>
      <c r="F253" t="str">
        <f t="shared" si="3"/>
        <v>PLN</v>
      </c>
    </row>
    <row r="254" spans="2:6" x14ac:dyDescent="0.35">
      <c r="B254" t="s">
        <v>464</v>
      </c>
      <c r="C254" t="s">
        <v>465</v>
      </c>
      <c r="D254" t="s">
        <v>1561</v>
      </c>
      <c r="F254" t="str">
        <f t="shared" si="3"/>
        <v>United States</v>
      </c>
    </row>
    <row r="255" spans="2:6" x14ac:dyDescent="0.35">
      <c r="B255" t="s">
        <v>466</v>
      </c>
      <c r="C255" t="s">
        <v>467</v>
      </c>
      <c r="D255" t="e">
        <v>#N/A</v>
      </c>
      <c r="E255" t="s">
        <v>18</v>
      </c>
      <c r="F255" t="str">
        <f t="shared" si="3"/>
        <v>AUD</v>
      </c>
    </row>
    <row r="256" spans="2:6" x14ac:dyDescent="0.35">
      <c r="B256" t="s">
        <v>468</v>
      </c>
      <c r="C256" t="s">
        <v>469</v>
      </c>
      <c r="D256" t="e">
        <v>#N/A</v>
      </c>
      <c r="E256" t="s">
        <v>18</v>
      </c>
      <c r="F256" t="str">
        <f t="shared" si="3"/>
        <v>AUD</v>
      </c>
    </row>
    <row r="257" spans="2:6" x14ac:dyDescent="0.35">
      <c r="B257" t="s">
        <v>470</v>
      </c>
      <c r="C257" t="s">
        <v>471</v>
      </c>
      <c r="D257" t="s">
        <v>1561</v>
      </c>
      <c r="F257" t="str">
        <f t="shared" si="3"/>
        <v>United States</v>
      </c>
    </row>
    <row r="258" spans="2:6" x14ac:dyDescent="0.35">
      <c r="B258" t="s">
        <v>472</v>
      </c>
      <c r="C258" t="s">
        <v>473</v>
      </c>
      <c r="D258" t="s">
        <v>1561</v>
      </c>
      <c r="F258" t="str">
        <f t="shared" si="3"/>
        <v>United States</v>
      </c>
    </row>
    <row r="259" spans="2:6" x14ac:dyDescent="0.35">
      <c r="B259" t="s">
        <v>474</v>
      </c>
      <c r="C259">
        <v>6465573</v>
      </c>
      <c r="D259" t="s">
        <v>1558</v>
      </c>
      <c r="F259" t="str">
        <f t="shared" ref="F259:F322" si="4">_xlfn.IFNA(D259,E259)</f>
        <v>Australia</v>
      </c>
    </row>
    <row r="260" spans="2:6" x14ac:dyDescent="0.35">
      <c r="B260" t="s">
        <v>475</v>
      </c>
      <c r="C260" t="s">
        <v>476</v>
      </c>
      <c r="D260" t="s">
        <v>1580</v>
      </c>
      <c r="F260" t="str">
        <f t="shared" si="4"/>
        <v>Denmark</v>
      </c>
    </row>
    <row r="261" spans="2:6" x14ac:dyDescent="0.35">
      <c r="B261" t="s">
        <v>477</v>
      </c>
      <c r="C261" t="s">
        <v>478</v>
      </c>
      <c r="D261" t="e">
        <v>#N/A</v>
      </c>
      <c r="E261" t="s">
        <v>18</v>
      </c>
      <c r="F261" t="str">
        <f t="shared" si="4"/>
        <v>AUD</v>
      </c>
    </row>
    <row r="262" spans="2:6" x14ac:dyDescent="0.35">
      <c r="B262" t="s">
        <v>479</v>
      </c>
      <c r="C262">
        <v>4942904</v>
      </c>
      <c r="D262" t="s">
        <v>1570</v>
      </c>
      <c r="F262" t="str">
        <f t="shared" si="4"/>
        <v>Germany</v>
      </c>
    </row>
    <row r="263" spans="2:6" x14ac:dyDescent="0.35">
      <c r="B263" t="s">
        <v>480</v>
      </c>
      <c r="C263" t="s">
        <v>481</v>
      </c>
      <c r="D263" t="s">
        <v>1565</v>
      </c>
      <c r="F263" t="str">
        <f t="shared" si="4"/>
        <v>Ireland</v>
      </c>
    </row>
    <row r="264" spans="2:6" x14ac:dyDescent="0.35">
      <c r="B264" t="s">
        <v>482</v>
      </c>
      <c r="C264">
        <v>2293819</v>
      </c>
      <c r="D264" t="s">
        <v>1561</v>
      </c>
      <c r="F264" t="str">
        <f t="shared" si="4"/>
        <v>United States</v>
      </c>
    </row>
    <row r="265" spans="2:6" x14ac:dyDescent="0.35">
      <c r="B265" t="s">
        <v>483</v>
      </c>
      <c r="C265" t="s">
        <v>484</v>
      </c>
      <c r="D265" t="e">
        <v>#N/A</v>
      </c>
      <c r="E265" t="s">
        <v>57</v>
      </c>
      <c r="F265" t="str">
        <f t="shared" si="4"/>
        <v>NZD</v>
      </c>
    </row>
    <row r="266" spans="2:6" x14ac:dyDescent="0.35">
      <c r="B266" t="s">
        <v>485</v>
      </c>
      <c r="C266">
        <v>2304227</v>
      </c>
      <c r="D266" t="s">
        <v>1561</v>
      </c>
      <c r="F266" t="str">
        <f t="shared" si="4"/>
        <v>United States</v>
      </c>
    </row>
    <row r="267" spans="2:6" x14ac:dyDescent="0.35">
      <c r="B267" t="s">
        <v>486</v>
      </c>
      <c r="C267">
        <v>2829515</v>
      </c>
      <c r="D267" t="s">
        <v>1561</v>
      </c>
      <c r="F267" t="str">
        <f t="shared" si="4"/>
        <v>United States</v>
      </c>
    </row>
    <row r="268" spans="2:6" x14ac:dyDescent="0.35">
      <c r="B268" t="s">
        <v>487</v>
      </c>
      <c r="C268" t="s">
        <v>488</v>
      </c>
      <c r="D268" t="s">
        <v>1572</v>
      </c>
      <c r="F268" t="str">
        <f t="shared" si="4"/>
        <v>France</v>
      </c>
    </row>
    <row r="269" spans="2:6" x14ac:dyDescent="0.35">
      <c r="B269" t="s">
        <v>489</v>
      </c>
      <c r="C269">
        <v>6357852</v>
      </c>
      <c r="D269" t="e">
        <v>#N/A</v>
      </c>
      <c r="E269" t="s">
        <v>18</v>
      </c>
      <c r="F269" t="str">
        <f t="shared" si="4"/>
        <v>AUD</v>
      </c>
    </row>
    <row r="270" spans="2:6" x14ac:dyDescent="0.35">
      <c r="B270" t="s">
        <v>490</v>
      </c>
      <c r="C270">
        <v>6293990</v>
      </c>
      <c r="D270" t="e">
        <v>#N/A</v>
      </c>
      <c r="E270" t="s">
        <v>1549</v>
      </c>
      <c r="F270" t="str">
        <f t="shared" si="4"/>
        <v>AU</v>
      </c>
    </row>
    <row r="271" spans="2:6" x14ac:dyDescent="0.35">
      <c r="B271" t="s">
        <v>491</v>
      </c>
      <c r="C271">
        <v>2310194</v>
      </c>
      <c r="D271" t="s">
        <v>1561</v>
      </c>
      <c r="F271" t="str">
        <f t="shared" si="4"/>
        <v>United States</v>
      </c>
    </row>
    <row r="272" spans="2:6" x14ac:dyDescent="0.35">
      <c r="B272" t="s">
        <v>492</v>
      </c>
      <c r="C272" t="s">
        <v>493</v>
      </c>
      <c r="D272" t="s">
        <v>1567</v>
      </c>
      <c r="F272" t="str">
        <f t="shared" si="4"/>
        <v>Canada</v>
      </c>
    </row>
    <row r="273" spans="2:6" x14ac:dyDescent="0.35">
      <c r="B273" t="s">
        <v>494</v>
      </c>
      <c r="C273" t="s">
        <v>495</v>
      </c>
      <c r="D273" t="s">
        <v>1561</v>
      </c>
      <c r="F273" t="str">
        <f t="shared" si="4"/>
        <v>United States</v>
      </c>
    </row>
    <row r="274" spans="2:6" x14ac:dyDescent="0.35">
      <c r="B274" t="s">
        <v>496</v>
      </c>
      <c r="C274" t="s">
        <v>497</v>
      </c>
      <c r="D274" t="s">
        <v>1561</v>
      </c>
      <c r="F274" t="str">
        <f t="shared" si="4"/>
        <v>United States</v>
      </c>
    </row>
    <row r="275" spans="2:6" x14ac:dyDescent="0.35">
      <c r="B275" t="s">
        <v>498</v>
      </c>
      <c r="C275">
        <v>2516152</v>
      </c>
      <c r="D275" t="s">
        <v>1561</v>
      </c>
      <c r="F275" t="str">
        <f t="shared" si="4"/>
        <v>United States</v>
      </c>
    </row>
    <row r="276" spans="2:6" x14ac:dyDescent="0.35">
      <c r="B276" t="s">
        <v>499</v>
      </c>
      <c r="C276" t="s">
        <v>500</v>
      </c>
      <c r="D276" t="s">
        <v>1541</v>
      </c>
      <c r="F276" t="str">
        <f t="shared" si="4"/>
        <v>UAE</v>
      </c>
    </row>
    <row r="277" spans="2:6" x14ac:dyDescent="0.35">
      <c r="B277" t="s">
        <v>501</v>
      </c>
      <c r="C277" t="s">
        <v>502</v>
      </c>
      <c r="D277" t="e">
        <v>#N/A</v>
      </c>
      <c r="E277" t="s">
        <v>18</v>
      </c>
      <c r="F277" t="str">
        <f t="shared" si="4"/>
        <v>AUD</v>
      </c>
    </row>
    <row r="278" spans="2:6" x14ac:dyDescent="0.35">
      <c r="B278" t="s">
        <v>503</v>
      </c>
      <c r="C278">
        <v>6107381</v>
      </c>
      <c r="D278" t="e">
        <v>#N/A</v>
      </c>
      <c r="E278" t="s">
        <v>18</v>
      </c>
      <c r="F278" t="str">
        <f t="shared" si="4"/>
        <v>AUD</v>
      </c>
    </row>
    <row r="279" spans="2:6" x14ac:dyDescent="0.35">
      <c r="B279" t="s">
        <v>504</v>
      </c>
      <c r="C279">
        <v>2313405</v>
      </c>
      <c r="D279" t="s">
        <v>1561</v>
      </c>
      <c r="F279" t="str">
        <f t="shared" si="4"/>
        <v>United States</v>
      </c>
    </row>
    <row r="280" spans="2:6" x14ac:dyDescent="0.35">
      <c r="B280" t="s">
        <v>505</v>
      </c>
      <c r="C280" t="s">
        <v>506</v>
      </c>
      <c r="D280" t="s">
        <v>1541</v>
      </c>
      <c r="F280" t="str">
        <f t="shared" si="4"/>
        <v>UAE</v>
      </c>
    </row>
    <row r="281" spans="2:6" x14ac:dyDescent="0.35">
      <c r="B281" t="s">
        <v>507</v>
      </c>
      <c r="C281" t="s">
        <v>508</v>
      </c>
      <c r="D281" t="e">
        <v>#N/A</v>
      </c>
      <c r="E281" t="s">
        <v>18</v>
      </c>
      <c r="F281" t="str">
        <f t="shared" si="4"/>
        <v>AUD</v>
      </c>
    </row>
    <row r="282" spans="2:6" x14ac:dyDescent="0.35">
      <c r="B282" t="s">
        <v>509</v>
      </c>
      <c r="C282">
        <v>2314000</v>
      </c>
      <c r="D282" t="s">
        <v>1567</v>
      </c>
      <c r="F282" t="str">
        <f t="shared" si="4"/>
        <v>Canada</v>
      </c>
    </row>
    <row r="283" spans="2:6" x14ac:dyDescent="0.35">
      <c r="B283" t="s">
        <v>510</v>
      </c>
      <c r="C283" t="s">
        <v>511</v>
      </c>
      <c r="D283" t="s">
        <v>1558</v>
      </c>
      <c r="F283" t="str">
        <f t="shared" si="4"/>
        <v>Australia</v>
      </c>
    </row>
    <row r="284" spans="2:6" x14ac:dyDescent="0.35">
      <c r="B284" t="s">
        <v>512</v>
      </c>
      <c r="C284" t="s">
        <v>513</v>
      </c>
      <c r="D284" t="s">
        <v>1563</v>
      </c>
      <c r="F284" t="str">
        <f t="shared" si="4"/>
        <v>Japan</v>
      </c>
    </row>
    <row r="285" spans="2:6" x14ac:dyDescent="0.35">
      <c r="B285" t="s">
        <v>514</v>
      </c>
      <c r="C285" t="s">
        <v>515</v>
      </c>
      <c r="D285" t="s">
        <v>1572</v>
      </c>
      <c r="F285" t="str">
        <f t="shared" si="4"/>
        <v>France</v>
      </c>
    </row>
    <row r="286" spans="2:6" x14ac:dyDescent="0.35">
      <c r="B286" t="s">
        <v>516</v>
      </c>
      <c r="C286">
        <v>6333937</v>
      </c>
      <c r="D286" t="e">
        <v>#N/A</v>
      </c>
      <c r="E286" t="s">
        <v>54</v>
      </c>
      <c r="F286" t="str">
        <f t="shared" si="4"/>
        <v>HKD</v>
      </c>
    </row>
    <row r="287" spans="2:6" x14ac:dyDescent="0.35">
      <c r="B287" t="s">
        <v>517</v>
      </c>
      <c r="C287" t="s">
        <v>518</v>
      </c>
      <c r="D287" t="s">
        <v>1561</v>
      </c>
      <c r="F287" t="str">
        <f t="shared" si="4"/>
        <v>United States</v>
      </c>
    </row>
    <row r="288" spans="2:6" x14ac:dyDescent="0.35">
      <c r="B288" t="s">
        <v>519</v>
      </c>
      <c r="C288">
        <v>2318024</v>
      </c>
      <c r="D288" t="s">
        <v>1561</v>
      </c>
      <c r="F288" t="str">
        <f t="shared" si="4"/>
        <v>United States</v>
      </c>
    </row>
    <row r="289" spans="2:6" x14ac:dyDescent="0.35">
      <c r="B289" t="s">
        <v>520</v>
      </c>
      <c r="C289" t="s">
        <v>521</v>
      </c>
      <c r="D289" t="e">
        <v>#N/A</v>
      </c>
      <c r="E289" t="s">
        <v>18</v>
      </c>
      <c r="F289" t="str">
        <f t="shared" si="4"/>
        <v>AUD</v>
      </c>
    </row>
    <row r="290" spans="2:6" x14ac:dyDescent="0.35">
      <c r="B290" t="s">
        <v>522</v>
      </c>
      <c r="C290">
        <v>7133608</v>
      </c>
      <c r="D290" t="s">
        <v>1588</v>
      </c>
      <c r="F290" t="str">
        <f t="shared" si="4"/>
        <v>Norway</v>
      </c>
    </row>
    <row r="291" spans="2:6" x14ac:dyDescent="0.35">
      <c r="B291" t="s">
        <v>523</v>
      </c>
      <c r="C291" t="s">
        <v>524</v>
      </c>
      <c r="D291" t="s">
        <v>1561</v>
      </c>
      <c r="F291" t="str">
        <f t="shared" si="4"/>
        <v>United States</v>
      </c>
    </row>
    <row r="292" spans="2:6" x14ac:dyDescent="0.35">
      <c r="B292" t="s">
        <v>525</v>
      </c>
      <c r="C292">
        <v>5289837</v>
      </c>
      <c r="D292" t="s">
        <v>1589</v>
      </c>
      <c r="F292" t="str">
        <f t="shared" si="4"/>
        <v>Austria</v>
      </c>
    </row>
    <row r="293" spans="2:6" x14ac:dyDescent="0.35">
      <c r="B293" t="s">
        <v>526</v>
      </c>
      <c r="C293">
        <v>7212477</v>
      </c>
      <c r="D293" t="s">
        <v>1572</v>
      </c>
      <c r="F293" t="str">
        <f t="shared" si="4"/>
        <v>France</v>
      </c>
    </row>
    <row r="294" spans="2:6" x14ac:dyDescent="0.35">
      <c r="B294" t="s">
        <v>527</v>
      </c>
      <c r="C294" t="s">
        <v>528</v>
      </c>
      <c r="D294" t="s">
        <v>1578</v>
      </c>
      <c r="F294" t="str">
        <f t="shared" si="4"/>
        <v>Sweden</v>
      </c>
    </row>
    <row r="295" spans="2:6" x14ac:dyDescent="0.35">
      <c r="B295" t="s">
        <v>529</v>
      </c>
      <c r="C295" t="s">
        <v>530</v>
      </c>
      <c r="D295" t="e">
        <v>#N/A</v>
      </c>
      <c r="E295" t="s">
        <v>58</v>
      </c>
      <c r="F295" t="str">
        <f t="shared" si="4"/>
        <v>SAR</v>
      </c>
    </row>
    <row r="296" spans="2:6" x14ac:dyDescent="0.35">
      <c r="B296" t="s">
        <v>531</v>
      </c>
      <c r="C296" t="s">
        <v>532</v>
      </c>
      <c r="D296" t="e">
        <v>#N/A</v>
      </c>
      <c r="E296" t="s">
        <v>1550</v>
      </c>
      <c r="F296" t="str">
        <f t="shared" si="4"/>
        <v>GR</v>
      </c>
    </row>
    <row r="297" spans="2:6" x14ac:dyDescent="0.35">
      <c r="B297" t="s">
        <v>533</v>
      </c>
      <c r="C297" t="s">
        <v>534</v>
      </c>
      <c r="D297" t="s">
        <v>1561</v>
      </c>
      <c r="F297" t="str">
        <f t="shared" si="4"/>
        <v>United States</v>
      </c>
    </row>
    <row r="298" spans="2:6" x14ac:dyDescent="0.35">
      <c r="B298" t="s">
        <v>535</v>
      </c>
      <c r="C298" t="s">
        <v>536</v>
      </c>
      <c r="D298" t="s">
        <v>1558</v>
      </c>
      <c r="F298" t="str">
        <f t="shared" si="4"/>
        <v>Australia</v>
      </c>
    </row>
    <row r="299" spans="2:6" x14ac:dyDescent="0.35">
      <c r="B299" t="s">
        <v>537</v>
      </c>
      <c r="C299">
        <v>2670519</v>
      </c>
      <c r="D299" t="s">
        <v>1561</v>
      </c>
      <c r="F299" t="str">
        <f t="shared" si="4"/>
        <v>United States</v>
      </c>
    </row>
    <row r="300" spans="2:6" x14ac:dyDescent="0.35">
      <c r="B300" t="s">
        <v>538</v>
      </c>
      <c r="C300" t="s">
        <v>539</v>
      </c>
      <c r="D300" t="s">
        <v>1561</v>
      </c>
      <c r="F300" t="str">
        <f t="shared" si="4"/>
        <v>United States</v>
      </c>
    </row>
    <row r="301" spans="2:6" x14ac:dyDescent="0.35">
      <c r="B301" t="s">
        <v>540</v>
      </c>
      <c r="C301">
        <v>2326618</v>
      </c>
      <c r="D301" t="s">
        <v>1561</v>
      </c>
      <c r="F301" t="str">
        <f t="shared" si="4"/>
        <v>United States</v>
      </c>
    </row>
    <row r="302" spans="2:6" x14ac:dyDescent="0.35">
      <c r="B302" t="s">
        <v>541</v>
      </c>
      <c r="C302">
        <v>2427599</v>
      </c>
      <c r="D302" t="e">
        <v>#N/A</v>
      </c>
      <c r="E302" t="s">
        <v>21</v>
      </c>
      <c r="F302" t="str">
        <f t="shared" si="4"/>
        <v>USD</v>
      </c>
    </row>
    <row r="303" spans="2:6" x14ac:dyDescent="0.35">
      <c r="B303" t="s">
        <v>542</v>
      </c>
      <c r="C303">
        <v>2769796</v>
      </c>
      <c r="D303" t="s">
        <v>1561</v>
      </c>
      <c r="F303" t="str">
        <f t="shared" si="4"/>
        <v>United States</v>
      </c>
    </row>
    <row r="304" spans="2:6" x14ac:dyDescent="0.35">
      <c r="B304" t="s">
        <v>543</v>
      </c>
      <c r="C304" t="s">
        <v>544</v>
      </c>
      <c r="D304" t="s">
        <v>1565</v>
      </c>
      <c r="F304" t="str">
        <f t="shared" si="4"/>
        <v>Ireland</v>
      </c>
    </row>
    <row r="305" spans="2:6" x14ac:dyDescent="0.35">
      <c r="B305" t="s">
        <v>545</v>
      </c>
      <c r="C305">
        <v>2342034</v>
      </c>
      <c r="D305" t="s">
        <v>1561</v>
      </c>
      <c r="F305" t="str">
        <f t="shared" si="4"/>
        <v>United States</v>
      </c>
    </row>
    <row r="306" spans="2:6" x14ac:dyDescent="0.35">
      <c r="B306" t="s">
        <v>546</v>
      </c>
      <c r="C306" t="s">
        <v>547</v>
      </c>
      <c r="D306" t="e">
        <v>#N/A</v>
      </c>
      <c r="E306" t="s">
        <v>1542</v>
      </c>
      <c r="F306" t="str">
        <f t="shared" si="4"/>
        <v>NZ</v>
      </c>
    </row>
    <row r="307" spans="2:6" x14ac:dyDescent="0.35">
      <c r="B307" t="s">
        <v>548</v>
      </c>
      <c r="C307" t="s">
        <v>549</v>
      </c>
      <c r="D307" t="e">
        <v>#N/A</v>
      </c>
      <c r="E307" t="s">
        <v>1549</v>
      </c>
      <c r="F307" t="str">
        <f t="shared" si="4"/>
        <v>AU</v>
      </c>
    </row>
    <row r="308" spans="2:6" x14ac:dyDescent="0.35">
      <c r="B308" t="s">
        <v>550</v>
      </c>
      <c r="C308">
        <v>6352147</v>
      </c>
      <c r="D308" t="s">
        <v>1558</v>
      </c>
      <c r="F308" t="str">
        <f t="shared" si="4"/>
        <v>Australia</v>
      </c>
    </row>
    <row r="309" spans="2:6" x14ac:dyDescent="0.35">
      <c r="B309" t="s">
        <v>551</v>
      </c>
      <c r="C309" t="s">
        <v>552</v>
      </c>
      <c r="D309" t="s">
        <v>1565</v>
      </c>
      <c r="F309" t="str">
        <f t="shared" si="4"/>
        <v>Ireland</v>
      </c>
    </row>
    <row r="310" spans="2:6" x14ac:dyDescent="0.35">
      <c r="B310" t="s">
        <v>553</v>
      </c>
      <c r="C310" t="s">
        <v>554</v>
      </c>
      <c r="D310" t="e">
        <v>#N/A</v>
      </c>
      <c r="E310" t="s">
        <v>40</v>
      </c>
      <c r="F310" t="str">
        <f t="shared" si="4"/>
        <v>TRY</v>
      </c>
    </row>
    <row r="311" spans="2:6" x14ac:dyDescent="0.35">
      <c r="B311" t="s">
        <v>555</v>
      </c>
      <c r="C311">
        <v>6086253</v>
      </c>
      <c r="D311" t="s">
        <v>1558</v>
      </c>
      <c r="F311" t="str">
        <f t="shared" si="4"/>
        <v>Australia</v>
      </c>
    </row>
    <row r="312" spans="2:6" x14ac:dyDescent="0.35">
      <c r="B312" t="s">
        <v>556</v>
      </c>
      <c r="C312" t="s">
        <v>557</v>
      </c>
      <c r="D312" t="s">
        <v>1561</v>
      </c>
      <c r="F312" t="str">
        <f t="shared" si="4"/>
        <v>United States</v>
      </c>
    </row>
    <row r="313" spans="2:6" x14ac:dyDescent="0.35">
      <c r="B313" t="s">
        <v>558</v>
      </c>
      <c r="C313">
        <v>5579550</v>
      </c>
      <c r="D313" t="s">
        <v>1590</v>
      </c>
      <c r="F313" t="str">
        <f t="shared" si="4"/>
        <v>Finland</v>
      </c>
    </row>
    <row r="314" spans="2:6" x14ac:dyDescent="0.35">
      <c r="B314" t="s">
        <v>559</v>
      </c>
      <c r="C314" t="s">
        <v>560</v>
      </c>
      <c r="D314" t="e">
        <v>#N/A</v>
      </c>
      <c r="E314" t="s">
        <v>1545</v>
      </c>
      <c r="F314" t="str">
        <f t="shared" si="4"/>
        <v>CN</v>
      </c>
    </row>
    <row r="315" spans="2:6" x14ac:dyDescent="0.35">
      <c r="B315" t="s">
        <v>561</v>
      </c>
      <c r="C315" t="s">
        <v>562</v>
      </c>
      <c r="D315" t="s">
        <v>1561</v>
      </c>
      <c r="F315" t="str">
        <f t="shared" si="4"/>
        <v>United States</v>
      </c>
    </row>
    <row r="316" spans="2:6" x14ac:dyDescent="0.35">
      <c r="B316" t="s">
        <v>561</v>
      </c>
      <c r="C316" t="s">
        <v>563</v>
      </c>
      <c r="D316" t="s">
        <v>1561</v>
      </c>
      <c r="F316" t="str">
        <f t="shared" si="4"/>
        <v>United States</v>
      </c>
    </row>
    <row r="317" spans="2:6" x14ac:dyDescent="0.35">
      <c r="B317" t="s">
        <v>564</v>
      </c>
      <c r="C317" t="s">
        <v>565</v>
      </c>
      <c r="D317" t="e">
        <v>#N/A</v>
      </c>
      <c r="E317" t="s">
        <v>61</v>
      </c>
      <c r="F317" t="str">
        <f t="shared" si="4"/>
        <v>VND</v>
      </c>
    </row>
    <row r="318" spans="2:6" x14ac:dyDescent="0.35">
      <c r="B318" t="s">
        <v>566</v>
      </c>
      <c r="C318">
        <v>6356365</v>
      </c>
      <c r="D318" t="s">
        <v>1563</v>
      </c>
      <c r="F318" t="str">
        <f t="shared" si="4"/>
        <v>Japan</v>
      </c>
    </row>
    <row r="319" spans="2:6" x14ac:dyDescent="0.35">
      <c r="B319" t="s">
        <v>567</v>
      </c>
      <c r="C319" t="s">
        <v>568</v>
      </c>
      <c r="D319" t="e">
        <v>#N/A</v>
      </c>
      <c r="E319" t="s">
        <v>21</v>
      </c>
      <c r="F319" t="str">
        <f t="shared" si="4"/>
        <v>USD</v>
      </c>
    </row>
    <row r="320" spans="2:6" x14ac:dyDescent="0.35">
      <c r="B320" t="s">
        <v>569</v>
      </c>
      <c r="C320" t="s">
        <v>570</v>
      </c>
      <c r="D320" t="e">
        <v>#N/A</v>
      </c>
      <c r="E320" t="s">
        <v>18</v>
      </c>
      <c r="F320" t="str">
        <f t="shared" si="4"/>
        <v>AUD</v>
      </c>
    </row>
    <row r="321" spans="2:6" x14ac:dyDescent="0.35">
      <c r="B321" t="s">
        <v>571</v>
      </c>
      <c r="C321">
        <v>6133405</v>
      </c>
      <c r="D321" t="s">
        <v>1577</v>
      </c>
      <c r="F321" t="str">
        <f t="shared" si="4"/>
        <v>India</v>
      </c>
    </row>
    <row r="322" spans="2:6" x14ac:dyDescent="0.35">
      <c r="B322" t="s">
        <v>572</v>
      </c>
      <c r="C322" t="s">
        <v>573</v>
      </c>
      <c r="D322" t="s">
        <v>1591</v>
      </c>
      <c r="F322" t="str">
        <f t="shared" si="4"/>
        <v>Portugal</v>
      </c>
    </row>
    <row r="323" spans="2:6" x14ac:dyDescent="0.35">
      <c r="B323" t="s">
        <v>574</v>
      </c>
      <c r="C323" t="s">
        <v>575</v>
      </c>
      <c r="D323" t="s">
        <v>1560</v>
      </c>
      <c r="F323" t="str">
        <f t="shared" ref="F323:F386" si="5">_xlfn.IFNA(D323,E323)</f>
        <v>Switzerland</v>
      </c>
    </row>
    <row r="324" spans="2:6" x14ac:dyDescent="0.35">
      <c r="B324" t="s">
        <v>576</v>
      </c>
      <c r="C324">
        <v>2372763</v>
      </c>
      <c r="D324" t="s">
        <v>1561</v>
      </c>
      <c r="F324" t="str">
        <f t="shared" si="5"/>
        <v>United States</v>
      </c>
    </row>
    <row r="325" spans="2:6" x14ac:dyDescent="0.35">
      <c r="B325" t="s">
        <v>577</v>
      </c>
      <c r="C325" t="s">
        <v>578</v>
      </c>
      <c r="D325" t="s">
        <v>1561</v>
      </c>
      <c r="F325" t="str">
        <f t="shared" si="5"/>
        <v>United States</v>
      </c>
    </row>
    <row r="326" spans="2:6" x14ac:dyDescent="0.35">
      <c r="B326" t="s">
        <v>579</v>
      </c>
      <c r="C326" t="s">
        <v>580</v>
      </c>
      <c r="D326" t="s">
        <v>1561</v>
      </c>
      <c r="F326" t="str">
        <f t="shared" si="5"/>
        <v>United States</v>
      </c>
    </row>
    <row r="327" spans="2:6" x14ac:dyDescent="0.35">
      <c r="B327" t="s">
        <v>581</v>
      </c>
      <c r="C327">
        <v>4557104</v>
      </c>
      <c r="D327" t="e">
        <v>#N/A</v>
      </c>
      <c r="E327" t="s">
        <v>31</v>
      </c>
      <c r="F327" t="str">
        <f t="shared" si="5"/>
        <v>EUR</v>
      </c>
    </row>
    <row r="328" spans="2:6" x14ac:dyDescent="0.35">
      <c r="B328" t="s">
        <v>582</v>
      </c>
      <c r="C328">
        <v>6531827</v>
      </c>
      <c r="D328" t="e">
        <v>#N/A</v>
      </c>
      <c r="E328" t="s">
        <v>54</v>
      </c>
      <c r="F328" t="str">
        <f t="shared" si="5"/>
        <v>HKD</v>
      </c>
    </row>
    <row r="329" spans="2:6" x14ac:dyDescent="0.35">
      <c r="B329" t="s">
        <v>583</v>
      </c>
      <c r="C329" t="s">
        <v>584</v>
      </c>
      <c r="D329" t="s">
        <v>1561</v>
      </c>
      <c r="F329" t="str">
        <f t="shared" si="5"/>
        <v>United States</v>
      </c>
    </row>
    <row r="330" spans="2:6" x14ac:dyDescent="0.35">
      <c r="B330" t="s">
        <v>585</v>
      </c>
      <c r="C330" t="s">
        <v>586</v>
      </c>
      <c r="D330" t="s">
        <v>1561</v>
      </c>
      <c r="F330" t="str">
        <f t="shared" si="5"/>
        <v>United States</v>
      </c>
    </row>
    <row r="331" spans="2:6" x14ac:dyDescent="0.35">
      <c r="B331" t="s">
        <v>587</v>
      </c>
      <c r="C331" t="s">
        <v>588</v>
      </c>
      <c r="D331" t="e">
        <v>#N/A</v>
      </c>
      <c r="E331" t="s">
        <v>21</v>
      </c>
      <c r="F331" t="str">
        <f t="shared" si="5"/>
        <v>USD</v>
      </c>
    </row>
    <row r="332" spans="2:6" x14ac:dyDescent="0.35">
      <c r="B332" t="s">
        <v>589</v>
      </c>
      <c r="C332">
        <v>2254645</v>
      </c>
      <c r="D332" t="s">
        <v>1567</v>
      </c>
      <c r="F332" t="str">
        <f t="shared" si="5"/>
        <v>Canada</v>
      </c>
    </row>
    <row r="333" spans="2:6" x14ac:dyDescent="0.35">
      <c r="B333" t="s">
        <v>590</v>
      </c>
      <c r="C333">
        <v>2369174</v>
      </c>
      <c r="D333" t="s">
        <v>1561</v>
      </c>
      <c r="F333" t="str">
        <f t="shared" si="5"/>
        <v>United States</v>
      </c>
    </row>
    <row r="334" spans="2:6" x14ac:dyDescent="0.35">
      <c r="B334" t="s">
        <v>591</v>
      </c>
      <c r="C334">
        <v>5980613</v>
      </c>
      <c r="D334" t="s">
        <v>1560</v>
      </c>
      <c r="F334" t="str">
        <f t="shared" si="5"/>
        <v>Switzerland</v>
      </c>
    </row>
    <row r="335" spans="2:6" x14ac:dyDescent="0.35">
      <c r="B335" t="s">
        <v>592</v>
      </c>
      <c r="C335" t="s">
        <v>593</v>
      </c>
      <c r="D335" t="s">
        <v>1559</v>
      </c>
      <c r="F335" t="str">
        <f t="shared" si="5"/>
        <v>United Kingdom</v>
      </c>
    </row>
    <row r="336" spans="2:6" x14ac:dyDescent="0.35">
      <c r="B336" t="s">
        <v>594</v>
      </c>
      <c r="C336" t="s">
        <v>595</v>
      </c>
      <c r="D336" t="s">
        <v>1592</v>
      </c>
      <c r="F336" t="str">
        <f t="shared" si="5"/>
        <v>Luxembourg</v>
      </c>
    </row>
    <row r="337" spans="2:6" x14ac:dyDescent="0.35">
      <c r="B337" t="s">
        <v>596</v>
      </c>
      <c r="C337" t="s">
        <v>597</v>
      </c>
      <c r="D337" t="s">
        <v>1561</v>
      </c>
      <c r="F337" t="str">
        <f t="shared" si="5"/>
        <v>United States</v>
      </c>
    </row>
    <row r="338" spans="2:6" x14ac:dyDescent="0.35">
      <c r="B338" t="s">
        <v>598</v>
      </c>
      <c r="C338" t="s">
        <v>599</v>
      </c>
      <c r="D338" t="e">
        <v>#N/A</v>
      </c>
      <c r="E338" t="s">
        <v>18</v>
      </c>
      <c r="F338" t="str">
        <f t="shared" si="5"/>
        <v>AUD</v>
      </c>
    </row>
    <row r="339" spans="2:6" x14ac:dyDescent="0.35">
      <c r="B339" t="s">
        <v>600</v>
      </c>
      <c r="C339">
        <v>2407966</v>
      </c>
      <c r="D339" t="s">
        <v>1561</v>
      </c>
      <c r="F339" t="str">
        <f t="shared" si="5"/>
        <v>United States</v>
      </c>
    </row>
    <row r="340" spans="2:6" x14ac:dyDescent="0.35">
      <c r="B340" t="s">
        <v>601</v>
      </c>
      <c r="C340" t="s">
        <v>602</v>
      </c>
      <c r="D340" t="e">
        <v>#N/A</v>
      </c>
      <c r="E340" t="s">
        <v>18</v>
      </c>
      <c r="F340" t="str">
        <f t="shared" si="5"/>
        <v>AUD</v>
      </c>
    </row>
    <row r="341" spans="2:6" x14ac:dyDescent="0.35">
      <c r="B341" t="s">
        <v>603</v>
      </c>
      <c r="C341" t="s">
        <v>604</v>
      </c>
      <c r="D341" t="e">
        <v>#N/A</v>
      </c>
      <c r="E341" t="s">
        <v>18</v>
      </c>
      <c r="F341" t="str">
        <f t="shared" si="5"/>
        <v>AUD</v>
      </c>
    </row>
    <row r="342" spans="2:6" x14ac:dyDescent="0.35">
      <c r="B342" t="s">
        <v>605</v>
      </c>
      <c r="C342" t="s">
        <v>606</v>
      </c>
      <c r="D342" t="s">
        <v>1587</v>
      </c>
      <c r="F342" t="str">
        <f t="shared" si="5"/>
        <v>Singapore</v>
      </c>
    </row>
    <row r="343" spans="2:6" x14ac:dyDescent="0.35">
      <c r="B343" t="s">
        <v>607</v>
      </c>
      <c r="C343">
        <v>6135876</v>
      </c>
      <c r="D343" t="e">
        <v>#N/A</v>
      </c>
      <c r="E343" t="s">
        <v>18</v>
      </c>
      <c r="F343" t="str">
        <f t="shared" si="5"/>
        <v>AUD</v>
      </c>
    </row>
    <row r="344" spans="2:6" x14ac:dyDescent="0.35">
      <c r="B344" t="s">
        <v>608</v>
      </c>
      <c r="C344">
        <v>2384951</v>
      </c>
      <c r="D344" t="s">
        <v>1567</v>
      </c>
      <c r="F344" t="str">
        <f t="shared" si="5"/>
        <v>Canada</v>
      </c>
    </row>
    <row r="345" spans="2:6" x14ac:dyDescent="0.35">
      <c r="B345" t="s">
        <v>609</v>
      </c>
      <c r="C345">
        <v>2421041</v>
      </c>
      <c r="D345" t="s">
        <v>1584</v>
      </c>
      <c r="F345" t="str">
        <f t="shared" si="5"/>
        <v>Mexico</v>
      </c>
    </row>
    <row r="346" spans="2:6" x14ac:dyDescent="0.35">
      <c r="B346" t="s">
        <v>610</v>
      </c>
      <c r="C346" t="s">
        <v>611</v>
      </c>
      <c r="D346" t="s">
        <v>1559</v>
      </c>
      <c r="F346" t="str">
        <f t="shared" si="5"/>
        <v>United Kingdom</v>
      </c>
    </row>
    <row r="347" spans="2:6" x14ac:dyDescent="0.35">
      <c r="B347" t="s">
        <v>612</v>
      </c>
      <c r="C347">
        <v>6392949</v>
      </c>
      <c r="D347" t="e">
        <v>#N/A</v>
      </c>
      <c r="E347" t="s">
        <v>18</v>
      </c>
      <c r="F347" t="str">
        <f t="shared" si="5"/>
        <v>AUD</v>
      </c>
    </row>
    <row r="348" spans="2:6" x14ac:dyDescent="0.35">
      <c r="B348" t="s">
        <v>613</v>
      </c>
      <c r="C348" t="s">
        <v>614</v>
      </c>
      <c r="D348" t="e">
        <v>#N/A</v>
      </c>
      <c r="E348" t="s">
        <v>21</v>
      </c>
      <c r="F348" t="str">
        <f t="shared" si="5"/>
        <v>USD</v>
      </c>
    </row>
    <row r="349" spans="2:6" x14ac:dyDescent="0.35">
      <c r="B349" t="s">
        <v>615</v>
      </c>
      <c r="C349" t="s">
        <v>616</v>
      </c>
      <c r="D349" t="e">
        <v>#N/A</v>
      </c>
      <c r="E349" t="s">
        <v>1546</v>
      </c>
      <c r="F349" t="str">
        <f t="shared" si="5"/>
        <v>HK</v>
      </c>
    </row>
    <row r="350" spans="2:6" x14ac:dyDescent="0.35">
      <c r="B350" t="s">
        <v>617</v>
      </c>
      <c r="C350" t="s">
        <v>618</v>
      </c>
      <c r="D350" t="e">
        <v>#N/A</v>
      </c>
      <c r="E350" t="s">
        <v>50</v>
      </c>
      <c r="F350" t="str">
        <f t="shared" si="5"/>
        <v>CNY</v>
      </c>
    </row>
    <row r="351" spans="2:6" x14ac:dyDescent="0.35">
      <c r="B351" t="s">
        <v>619</v>
      </c>
      <c r="C351" t="s">
        <v>620</v>
      </c>
      <c r="D351" t="s">
        <v>1569</v>
      </c>
      <c r="F351" t="str">
        <f t="shared" si="5"/>
        <v>China</v>
      </c>
    </row>
    <row r="352" spans="2:6" x14ac:dyDescent="0.35">
      <c r="B352" t="s">
        <v>621</v>
      </c>
      <c r="C352">
        <v>2405302</v>
      </c>
      <c r="D352" t="s">
        <v>1561</v>
      </c>
      <c r="F352" t="str">
        <f t="shared" si="5"/>
        <v>United States</v>
      </c>
    </row>
    <row r="353" spans="2:6" x14ac:dyDescent="0.35">
      <c r="B353" t="s">
        <v>622</v>
      </c>
      <c r="C353" t="s">
        <v>623</v>
      </c>
      <c r="D353" t="s">
        <v>1585</v>
      </c>
      <c r="F353" t="str">
        <f t="shared" si="5"/>
        <v>South Korea</v>
      </c>
    </row>
    <row r="354" spans="2:6" x14ac:dyDescent="0.35">
      <c r="B354" t="s">
        <v>624</v>
      </c>
      <c r="C354" t="s">
        <v>625</v>
      </c>
      <c r="D354" t="e">
        <v>#N/A</v>
      </c>
      <c r="E354" t="s">
        <v>1545</v>
      </c>
      <c r="F354" t="str">
        <f t="shared" si="5"/>
        <v>CN</v>
      </c>
    </row>
    <row r="355" spans="2:6" x14ac:dyDescent="0.35">
      <c r="B355" t="s">
        <v>626</v>
      </c>
      <c r="C355" t="s">
        <v>627</v>
      </c>
      <c r="D355" t="s">
        <v>1585</v>
      </c>
      <c r="F355" t="str">
        <f t="shared" si="5"/>
        <v>South Korea</v>
      </c>
    </row>
    <row r="356" spans="2:6" x14ac:dyDescent="0.35">
      <c r="B356" t="s">
        <v>628</v>
      </c>
      <c r="C356">
        <v>6243252</v>
      </c>
      <c r="D356" t="e">
        <v>#N/A</v>
      </c>
      <c r="E356" t="s">
        <v>18</v>
      </c>
      <c r="F356" t="str">
        <f t="shared" si="5"/>
        <v>AUD</v>
      </c>
    </row>
    <row r="357" spans="2:6" x14ac:dyDescent="0.35">
      <c r="B357" t="s">
        <v>629</v>
      </c>
      <c r="C357" t="s">
        <v>630</v>
      </c>
      <c r="D357" t="e">
        <v>#N/A</v>
      </c>
      <c r="E357" t="s">
        <v>1545</v>
      </c>
      <c r="F357" t="str">
        <f t="shared" si="5"/>
        <v>CN</v>
      </c>
    </row>
    <row r="358" spans="2:6" x14ac:dyDescent="0.35">
      <c r="B358" t="s">
        <v>631</v>
      </c>
      <c r="C358">
        <v>6772671</v>
      </c>
      <c r="D358" t="s">
        <v>1585</v>
      </c>
      <c r="F358" t="str">
        <f t="shared" si="5"/>
        <v>South Korea</v>
      </c>
    </row>
    <row r="359" spans="2:6" x14ac:dyDescent="0.35">
      <c r="B359" t="s">
        <v>632</v>
      </c>
      <c r="C359">
        <v>2476193</v>
      </c>
      <c r="D359" t="s">
        <v>1561</v>
      </c>
      <c r="F359" t="str">
        <f t="shared" si="5"/>
        <v>United States</v>
      </c>
    </row>
    <row r="360" spans="2:6" x14ac:dyDescent="0.35">
      <c r="B360" t="s">
        <v>633</v>
      </c>
      <c r="C360" t="s">
        <v>634</v>
      </c>
      <c r="D360" t="s">
        <v>1561</v>
      </c>
      <c r="F360" t="str">
        <f t="shared" si="5"/>
        <v>United States</v>
      </c>
    </row>
    <row r="361" spans="2:6" x14ac:dyDescent="0.35">
      <c r="B361" t="s">
        <v>635</v>
      </c>
      <c r="C361">
        <v>6294896</v>
      </c>
      <c r="D361" t="e">
        <v>#N/A</v>
      </c>
      <c r="E361" t="s">
        <v>34</v>
      </c>
      <c r="F361" t="str">
        <f t="shared" si="5"/>
        <v>INR</v>
      </c>
    </row>
    <row r="362" spans="2:6" x14ac:dyDescent="0.35">
      <c r="B362" t="s">
        <v>636</v>
      </c>
      <c r="C362" t="s">
        <v>637</v>
      </c>
      <c r="D362" t="e">
        <v>#N/A</v>
      </c>
      <c r="E362" t="s">
        <v>1536</v>
      </c>
      <c r="F362" t="str">
        <f t="shared" si="5"/>
        <v>KRW</v>
      </c>
    </row>
    <row r="363" spans="2:6" x14ac:dyDescent="0.35">
      <c r="B363" t="s">
        <v>638</v>
      </c>
      <c r="C363" t="s">
        <v>639</v>
      </c>
      <c r="D363" t="e">
        <v>#N/A</v>
      </c>
      <c r="E363" t="s">
        <v>34</v>
      </c>
      <c r="F363" t="str">
        <f t="shared" si="5"/>
        <v>INR</v>
      </c>
    </row>
    <row r="364" spans="2:6" x14ac:dyDescent="0.35">
      <c r="B364" t="s">
        <v>640</v>
      </c>
      <c r="C364" t="s">
        <v>641</v>
      </c>
      <c r="D364" t="e">
        <v>#N/A</v>
      </c>
      <c r="E364" t="s">
        <v>34</v>
      </c>
      <c r="F364" t="str">
        <f t="shared" si="5"/>
        <v>INR</v>
      </c>
    </row>
    <row r="365" spans="2:6" x14ac:dyDescent="0.35">
      <c r="B365" t="s">
        <v>642</v>
      </c>
      <c r="C365" t="s">
        <v>643</v>
      </c>
      <c r="D365" t="e">
        <v>#N/A</v>
      </c>
      <c r="E365" t="s">
        <v>34</v>
      </c>
      <c r="F365" t="str">
        <f t="shared" si="5"/>
        <v>INR</v>
      </c>
    </row>
    <row r="366" spans="2:6" x14ac:dyDescent="0.35">
      <c r="B366" t="s">
        <v>644</v>
      </c>
      <c r="C366" t="s">
        <v>645</v>
      </c>
      <c r="D366" t="e">
        <v>#N/A</v>
      </c>
      <c r="E366" t="s">
        <v>18</v>
      </c>
      <c r="F366" t="str">
        <f t="shared" si="5"/>
        <v>AUD</v>
      </c>
    </row>
    <row r="367" spans="2:6" x14ac:dyDescent="0.35">
      <c r="B367" t="s">
        <v>646</v>
      </c>
      <c r="C367">
        <v>7792559</v>
      </c>
      <c r="D367" t="s">
        <v>1564</v>
      </c>
      <c r="F367" t="str">
        <f t="shared" si="5"/>
        <v>Netherlands</v>
      </c>
    </row>
    <row r="368" spans="2:6" x14ac:dyDescent="0.35">
      <c r="B368" t="s">
        <v>647</v>
      </c>
      <c r="C368" t="s">
        <v>648</v>
      </c>
      <c r="D368" t="e">
        <v>#N/A</v>
      </c>
      <c r="E368" t="s">
        <v>18</v>
      </c>
      <c r="F368" t="str">
        <f t="shared" si="5"/>
        <v>AUD</v>
      </c>
    </row>
    <row r="369" spans="2:6" x14ac:dyDescent="0.35">
      <c r="B369" t="s">
        <v>649</v>
      </c>
      <c r="C369">
        <v>5076705</v>
      </c>
      <c r="D369" t="s">
        <v>1570</v>
      </c>
      <c r="F369" t="str">
        <f t="shared" si="5"/>
        <v>Germany</v>
      </c>
    </row>
    <row r="370" spans="2:6" x14ac:dyDescent="0.35">
      <c r="B370" t="s">
        <v>650</v>
      </c>
      <c r="C370">
        <v>5253973</v>
      </c>
      <c r="D370" t="s">
        <v>1572</v>
      </c>
      <c r="F370" t="str">
        <f t="shared" si="5"/>
        <v>France</v>
      </c>
    </row>
    <row r="371" spans="2:6" x14ac:dyDescent="0.35">
      <c r="B371" t="s">
        <v>651</v>
      </c>
      <c r="C371">
        <v>6327327</v>
      </c>
      <c r="D371" t="e">
        <v>#N/A</v>
      </c>
      <c r="E371" t="s">
        <v>34</v>
      </c>
      <c r="F371" t="str">
        <f t="shared" si="5"/>
        <v>INR</v>
      </c>
    </row>
    <row r="372" spans="2:6" x14ac:dyDescent="0.35">
      <c r="B372" t="s">
        <v>652</v>
      </c>
      <c r="C372" t="s">
        <v>653</v>
      </c>
      <c r="D372" t="s">
        <v>1561</v>
      </c>
      <c r="F372" t="str">
        <f t="shared" si="5"/>
        <v>United States</v>
      </c>
    </row>
    <row r="373" spans="2:6" x14ac:dyDescent="0.35">
      <c r="B373" t="s">
        <v>654</v>
      </c>
      <c r="C373">
        <v>6416322</v>
      </c>
      <c r="D373" t="s">
        <v>1563</v>
      </c>
      <c r="F373" t="str">
        <f t="shared" si="5"/>
        <v>Japan</v>
      </c>
    </row>
    <row r="374" spans="2:6" x14ac:dyDescent="0.35">
      <c r="B374" t="s">
        <v>655</v>
      </c>
      <c r="C374" t="s">
        <v>656</v>
      </c>
      <c r="D374" t="e">
        <v>#N/A</v>
      </c>
      <c r="E374" t="s">
        <v>34</v>
      </c>
      <c r="F374" t="str">
        <f t="shared" si="5"/>
        <v>INR</v>
      </c>
    </row>
    <row r="375" spans="2:6" x14ac:dyDescent="0.35">
      <c r="B375" t="s">
        <v>657</v>
      </c>
      <c r="C375">
        <v>6100476</v>
      </c>
      <c r="D375" t="e">
        <v>#N/A</v>
      </c>
      <c r="E375" t="s">
        <v>34</v>
      </c>
      <c r="F375" t="str">
        <f t="shared" si="5"/>
        <v>INR</v>
      </c>
    </row>
    <row r="376" spans="2:6" x14ac:dyDescent="0.35">
      <c r="B376" t="s">
        <v>658</v>
      </c>
      <c r="C376">
        <v>6429104</v>
      </c>
      <c r="D376" t="s">
        <v>1563</v>
      </c>
      <c r="F376" t="str">
        <f t="shared" si="5"/>
        <v>Japan</v>
      </c>
    </row>
    <row r="377" spans="2:6" x14ac:dyDescent="0.35">
      <c r="B377" t="s">
        <v>659</v>
      </c>
      <c r="C377">
        <v>2434209</v>
      </c>
      <c r="D377" t="s">
        <v>1561</v>
      </c>
      <c r="F377" t="str">
        <f t="shared" si="5"/>
        <v>United States</v>
      </c>
    </row>
    <row r="378" spans="2:6" x14ac:dyDescent="0.35">
      <c r="B378" t="s">
        <v>660</v>
      </c>
      <c r="C378">
        <v>6438564</v>
      </c>
      <c r="D378" t="s">
        <v>1571</v>
      </c>
      <c r="F378" t="str">
        <f t="shared" si="5"/>
        <v>Taiwan</v>
      </c>
    </row>
    <row r="379" spans="2:6" x14ac:dyDescent="0.35">
      <c r="B379" t="s">
        <v>661</v>
      </c>
      <c r="C379">
        <v>6435145</v>
      </c>
      <c r="D379" t="s">
        <v>1563</v>
      </c>
      <c r="F379" t="str">
        <f t="shared" si="5"/>
        <v>Japan</v>
      </c>
    </row>
    <row r="380" spans="2:6" x14ac:dyDescent="0.35">
      <c r="B380" t="s">
        <v>662</v>
      </c>
      <c r="C380">
        <v>2020459</v>
      </c>
      <c r="D380" t="s">
        <v>1561</v>
      </c>
      <c r="F380" t="str">
        <f t="shared" si="5"/>
        <v>United States</v>
      </c>
    </row>
    <row r="381" spans="2:6" x14ac:dyDescent="0.35">
      <c r="B381" t="s">
        <v>663</v>
      </c>
      <c r="C381" t="s">
        <v>664</v>
      </c>
      <c r="D381" t="s">
        <v>1569</v>
      </c>
      <c r="F381" t="str">
        <f t="shared" si="5"/>
        <v>China</v>
      </c>
    </row>
    <row r="382" spans="2:6" x14ac:dyDescent="0.35">
      <c r="B382" t="s">
        <v>665</v>
      </c>
      <c r="C382">
        <v>540528</v>
      </c>
      <c r="D382" t="e">
        <v>#N/A</v>
      </c>
      <c r="E382" t="s">
        <v>53</v>
      </c>
      <c r="F382" t="str">
        <f t="shared" si="5"/>
        <v>GBP</v>
      </c>
    </row>
    <row r="383" spans="2:6" x14ac:dyDescent="0.35">
      <c r="B383" t="s">
        <v>666</v>
      </c>
      <c r="C383" t="s">
        <v>667</v>
      </c>
      <c r="D383" t="s">
        <v>1558</v>
      </c>
      <c r="F383" t="str">
        <f t="shared" si="5"/>
        <v>Australia</v>
      </c>
    </row>
    <row r="384" spans="2:6" x14ac:dyDescent="0.35">
      <c r="B384" t="s">
        <v>668</v>
      </c>
      <c r="C384">
        <v>2445063</v>
      </c>
      <c r="D384" t="s">
        <v>1561</v>
      </c>
      <c r="F384" t="str">
        <f t="shared" si="5"/>
        <v>United States</v>
      </c>
    </row>
    <row r="385" spans="2:6" x14ac:dyDescent="0.35">
      <c r="B385" t="s">
        <v>669</v>
      </c>
      <c r="C385" t="s">
        <v>670</v>
      </c>
      <c r="D385" t="e">
        <v>#N/A</v>
      </c>
      <c r="E385" t="s">
        <v>18</v>
      </c>
      <c r="F385" t="str">
        <f t="shared" si="5"/>
        <v>AUD</v>
      </c>
    </row>
    <row r="386" spans="2:6" x14ac:dyDescent="0.35">
      <c r="B386" t="s">
        <v>671</v>
      </c>
      <c r="C386">
        <v>2445966</v>
      </c>
      <c r="D386" t="s">
        <v>1561</v>
      </c>
      <c r="F386" t="str">
        <f t="shared" si="5"/>
        <v>United States</v>
      </c>
    </row>
    <row r="387" spans="2:6" x14ac:dyDescent="0.35">
      <c r="B387" t="s">
        <v>672</v>
      </c>
      <c r="C387" t="s">
        <v>673</v>
      </c>
      <c r="D387" t="s">
        <v>1567</v>
      </c>
      <c r="F387" t="str">
        <f t="shared" ref="F387:F450" si="6">_xlfn.IFNA(D387,E387)</f>
        <v>Canada</v>
      </c>
    </row>
    <row r="388" spans="2:6" x14ac:dyDescent="0.35">
      <c r="B388" t="s">
        <v>674</v>
      </c>
      <c r="C388">
        <v>6449544</v>
      </c>
      <c r="D388" t="s">
        <v>1585</v>
      </c>
      <c r="F388" t="str">
        <f t="shared" si="6"/>
        <v>South Korea</v>
      </c>
    </row>
    <row r="389" spans="2:6" x14ac:dyDescent="0.35">
      <c r="B389" t="s">
        <v>675</v>
      </c>
      <c r="C389" t="s">
        <v>676</v>
      </c>
      <c r="D389" t="s">
        <v>1562</v>
      </c>
      <c r="F389" t="str">
        <f t="shared" si="6"/>
        <v>Spain</v>
      </c>
    </row>
    <row r="390" spans="2:6" x14ac:dyDescent="0.35">
      <c r="B390" t="s">
        <v>677</v>
      </c>
      <c r="C390" t="s">
        <v>678</v>
      </c>
      <c r="D390" t="s">
        <v>1577</v>
      </c>
      <c r="F390" t="str">
        <f t="shared" si="6"/>
        <v>India</v>
      </c>
    </row>
    <row r="391" spans="2:6" x14ac:dyDescent="0.35">
      <c r="B391" t="s">
        <v>679</v>
      </c>
      <c r="C391" t="s">
        <v>680</v>
      </c>
      <c r="D391" t="s">
        <v>1563</v>
      </c>
      <c r="F391" t="str">
        <f t="shared" si="6"/>
        <v>Japan</v>
      </c>
    </row>
    <row r="392" spans="2:6" x14ac:dyDescent="0.35">
      <c r="B392" t="s">
        <v>681</v>
      </c>
      <c r="C392" t="s">
        <v>682</v>
      </c>
      <c r="D392" t="s">
        <v>1558</v>
      </c>
      <c r="F392" t="str">
        <f t="shared" si="6"/>
        <v>Australia</v>
      </c>
    </row>
    <row r="393" spans="2:6" x14ac:dyDescent="0.35">
      <c r="B393" t="s">
        <v>683</v>
      </c>
      <c r="C393">
        <v>2469375</v>
      </c>
      <c r="D393" t="s">
        <v>1567</v>
      </c>
      <c r="F393" t="str">
        <f t="shared" si="6"/>
        <v>Canada</v>
      </c>
    </row>
    <row r="394" spans="2:6" x14ac:dyDescent="0.35">
      <c r="B394" t="s">
        <v>684</v>
      </c>
      <c r="C394">
        <v>6439567</v>
      </c>
      <c r="D394" t="s">
        <v>1558</v>
      </c>
      <c r="F394" t="str">
        <f t="shared" si="6"/>
        <v>Australia</v>
      </c>
    </row>
    <row r="395" spans="2:6" x14ac:dyDescent="0.35">
      <c r="B395" t="s">
        <v>685</v>
      </c>
      <c r="C395">
        <v>2613990</v>
      </c>
      <c r="D395" t="s">
        <v>1561</v>
      </c>
      <c r="F395" t="str">
        <f t="shared" si="6"/>
        <v>United States</v>
      </c>
    </row>
    <row r="396" spans="2:6" x14ac:dyDescent="0.35">
      <c r="B396" t="s">
        <v>686</v>
      </c>
      <c r="C396">
        <v>6957575</v>
      </c>
      <c r="D396" t="s">
        <v>1558</v>
      </c>
      <c r="F396" t="str">
        <f t="shared" si="6"/>
        <v>Australia</v>
      </c>
    </row>
    <row r="397" spans="2:6" x14ac:dyDescent="0.35">
      <c r="B397" t="s">
        <v>687</v>
      </c>
      <c r="C397">
        <v>6462154</v>
      </c>
      <c r="D397" t="e">
        <v>#N/A</v>
      </c>
      <c r="E397" t="s">
        <v>18</v>
      </c>
      <c r="F397" t="str">
        <f t="shared" si="6"/>
        <v>AUD</v>
      </c>
    </row>
    <row r="398" spans="2:6" x14ac:dyDescent="0.35">
      <c r="B398" t="s">
        <v>688</v>
      </c>
      <c r="C398">
        <v>2471950</v>
      </c>
      <c r="D398" t="s">
        <v>1561</v>
      </c>
      <c r="F398" t="str">
        <f t="shared" si="6"/>
        <v>United States</v>
      </c>
    </row>
    <row r="399" spans="2:6" x14ac:dyDescent="0.35">
      <c r="B399" t="s">
        <v>689</v>
      </c>
      <c r="C399">
        <v>6253767</v>
      </c>
      <c r="D399" t="s">
        <v>1577</v>
      </c>
      <c r="F399" t="str">
        <f t="shared" si="6"/>
        <v>India</v>
      </c>
    </row>
    <row r="400" spans="2:6" x14ac:dyDescent="0.35">
      <c r="B400" t="s">
        <v>690</v>
      </c>
      <c r="C400">
        <v>6268095</v>
      </c>
      <c r="D400" t="e">
        <v>#N/A</v>
      </c>
      <c r="E400" t="s">
        <v>18</v>
      </c>
      <c r="F400" t="str">
        <f t="shared" si="6"/>
        <v>AUD</v>
      </c>
    </row>
    <row r="401" spans="2:6" x14ac:dyDescent="0.35">
      <c r="B401" t="s">
        <v>691</v>
      </c>
      <c r="C401">
        <v>6205122</v>
      </c>
      <c r="D401" t="e">
        <v>#N/A</v>
      </c>
      <c r="E401" t="s">
        <v>34</v>
      </c>
      <c r="F401" t="str">
        <f t="shared" si="6"/>
        <v>INR</v>
      </c>
    </row>
    <row r="402" spans="2:6" x14ac:dyDescent="0.35">
      <c r="B402" t="s">
        <v>692</v>
      </c>
      <c r="C402" t="s">
        <v>693</v>
      </c>
      <c r="D402" t="s">
        <v>1564</v>
      </c>
      <c r="F402" t="str">
        <f t="shared" si="6"/>
        <v>Netherlands</v>
      </c>
    </row>
    <row r="403" spans="2:6" x14ac:dyDescent="0.35">
      <c r="B403" t="s">
        <v>694</v>
      </c>
      <c r="C403" t="s">
        <v>695</v>
      </c>
      <c r="D403" t="s">
        <v>1558</v>
      </c>
      <c r="F403" t="str">
        <f t="shared" si="6"/>
        <v>Australia</v>
      </c>
    </row>
    <row r="404" spans="2:6" x14ac:dyDescent="0.35">
      <c r="B404" t="s">
        <v>696</v>
      </c>
      <c r="C404">
        <v>6714394</v>
      </c>
      <c r="D404" t="e">
        <v>#N/A</v>
      </c>
      <c r="E404" t="s">
        <v>18</v>
      </c>
      <c r="F404" t="str">
        <f t="shared" si="6"/>
        <v>AUD</v>
      </c>
    </row>
    <row r="405" spans="2:6" x14ac:dyDescent="0.35">
      <c r="B405" t="s">
        <v>697</v>
      </c>
      <c r="C405" t="s">
        <v>698</v>
      </c>
      <c r="D405" t="s">
        <v>1561</v>
      </c>
      <c r="F405" t="str">
        <f t="shared" si="6"/>
        <v>United States</v>
      </c>
    </row>
    <row r="406" spans="2:6" x14ac:dyDescent="0.35">
      <c r="B406" t="s">
        <v>699</v>
      </c>
      <c r="C406">
        <v>6271026</v>
      </c>
      <c r="D406" t="s">
        <v>1558</v>
      </c>
      <c r="F406" t="str">
        <f t="shared" si="6"/>
        <v>Australia</v>
      </c>
    </row>
    <row r="407" spans="2:6" x14ac:dyDescent="0.35">
      <c r="B407" t="s">
        <v>700</v>
      </c>
      <c r="C407" t="s">
        <v>701</v>
      </c>
      <c r="D407" t="e">
        <v>#N/A</v>
      </c>
      <c r="E407" t="s">
        <v>18</v>
      </c>
      <c r="F407" t="str">
        <f t="shared" si="6"/>
        <v>AUD</v>
      </c>
    </row>
    <row r="408" spans="2:6" x14ac:dyDescent="0.35">
      <c r="B408" t="s">
        <v>702</v>
      </c>
      <c r="C408">
        <v>2205706</v>
      </c>
      <c r="D408" t="e">
        <v>#N/A</v>
      </c>
      <c r="E408" t="s">
        <v>51</v>
      </c>
      <c r="F408" t="str">
        <f t="shared" si="6"/>
        <v>COP</v>
      </c>
    </row>
    <row r="409" spans="2:6" x14ac:dyDescent="0.35">
      <c r="B409" t="s">
        <v>703</v>
      </c>
      <c r="C409">
        <v>2005973</v>
      </c>
      <c r="D409" t="s">
        <v>1561</v>
      </c>
      <c r="F409" t="str">
        <f t="shared" si="6"/>
        <v>United States</v>
      </c>
    </row>
    <row r="410" spans="2:6" x14ac:dyDescent="0.35">
      <c r="B410" t="s">
        <v>704</v>
      </c>
      <c r="C410">
        <v>6455819</v>
      </c>
      <c r="D410" t="e">
        <v>#N/A</v>
      </c>
      <c r="E410" t="s">
        <v>1551</v>
      </c>
      <c r="F410" t="str">
        <f t="shared" si="6"/>
        <v>PH</v>
      </c>
    </row>
    <row r="411" spans="2:6" x14ac:dyDescent="0.35">
      <c r="B411" t="s">
        <v>705</v>
      </c>
      <c r="C411">
        <v>2464165</v>
      </c>
      <c r="D411" t="s">
        <v>1561</v>
      </c>
      <c r="F411" t="str">
        <f t="shared" si="6"/>
        <v>United States</v>
      </c>
    </row>
    <row r="412" spans="2:6" x14ac:dyDescent="0.35">
      <c r="B412" t="s">
        <v>706</v>
      </c>
      <c r="C412">
        <v>4076836</v>
      </c>
      <c r="D412" t="s">
        <v>1579</v>
      </c>
      <c r="F412" t="str">
        <f t="shared" si="6"/>
        <v>Italy</v>
      </c>
    </row>
    <row r="413" spans="2:6" x14ac:dyDescent="0.35">
      <c r="B413" t="s">
        <v>707</v>
      </c>
      <c r="C413">
        <v>2459020</v>
      </c>
      <c r="D413" t="s">
        <v>1561</v>
      </c>
      <c r="F413" t="str">
        <f t="shared" si="6"/>
        <v>United States</v>
      </c>
    </row>
    <row r="414" spans="2:6" x14ac:dyDescent="0.35">
      <c r="B414" t="s">
        <v>708</v>
      </c>
      <c r="C414">
        <v>2871301</v>
      </c>
      <c r="D414" t="s">
        <v>1561</v>
      </c>
      <c r="F414" t="str">
        <f t="shared" si="6"/>
        <v>United States</v>
      </c>
    </row>
    <row r="415" spans="2:6" x14ac:dyDescent="0.35">
      <c r="B415" t="s">
        <v>709</v>
      </c>
      <c r="C415" t="s">
        <v>710</v>
      </c>
      <c r="D415" t="s">
        <v>1578</v>
      </c>
      <c r="F415" t="str">
        <f t="shared" si="6"/>
        <v>Sweden</v>
      </c>
    </row>
    <row r="416" spans="2:6" x14ac:dyDescent="0.35">
      <c r="B416" t="s">
        <v>711</v>
      </c>
      <c r="C416" t="s">
        <v>712</v>
      </c>
      <c r="D416" t="e">
        <v>#N/A</v>
      </c>
      <c r="E416" t="s">
        <v>18</v>
      </c>
      <c r="F416" t="str">
        <f t="shared" si="6"/>
        <v>AUD</v>
      </c>
    </row>
    <row r="417" spans="2:6" x14ac:dyDescent="0.35">
      <c r="B417" t="s">
        <v>713</v>
      </c>
      <c r="C417" t="s">
        <v>714</v>
      </c>
      <c r="D417" t="s">
        <v>1572</v>
      </c>
      <c r="F417" t="str">
        <f t="shared" si="6"/>
        <v>France</v>
      </c>
    </row>
    <row r="418" spans="2:6" x14ac:dyDescent="0.35">
      <c r="B418" t="s">
        <v>715</v>
      </c>
      <c r="C418" t="s">
        <v>716</v>
      </c>
      <c r="D418" t="s">
        <v>1561</v>
      </c>
      <c r="F418" t="str">
        <f t="shared" si="6"/>
        <v>United States</v>
      </c>
    </row>
    <row r="419" spans="2:6" x14ac:dyDescent="0.35">
      <c r="B419" t="s">
        <v>717</v>
      </c>
      <c r="C419">
        <v>6297497</v>
      </c>
      <c r="D419" t="e">
        <v>#N/A</v>
      </c>
      <c r="E419" t="s">
        <v>18</v>
      </c>
      <c r="F419" t="str">
        <f t="shared" si="6"/>
        <v>AUD</v>
      </c>
    </row>
    <row r="420" spans="2:6" x14ac:dyDescent="0.35">
      <c r="B420" t="s">
        <v>718</v>
      </c>
      <c r="C420" t="s">
        <v>719</v>
      </c>
      <c r="D420" t="s">
        <v>1582</v>
      </c>
      <c r="F420" t="str">
        <f t="shared" si="6"/>
        <v>Brazil</v>
      </c>
    </row>
    <row r="421" spans="2:6" x14ac:dyDescent="0.35">
      <c r="B421" t="s">
        <v>720</v>
      </c>
      <c r="C421">
        <v>6467803</v>
      </c>
      <c r="D421" t="s">
        <v>1563</v>
      </c>
      <c r="F421" t="str">
        <f t="shared" si="6"/>
        <v>Japan</v>
      </c>
    </row>
    <row r="422" spans="2:6" x14ac:dyDescent="0.35">
      <c r="B422" t="s">
        <v>721</v>
      </c>
      <c r="C422" t="s">
        <v>722</v>
      </c>
      <c r="D422" t="e">
        <v>#N/A</v>
      </c>
      <c r="E422" t="s">
        <v>18</v>
      </c>
      <c r="F422" t="str">
        <f t="shared" si="6"/>
        <v>AUD</v>
      </c>
    </row>
    <row r="423" spans="2:6" x14ac:dyDescent="0.35">
      <c r="B423" t="s">
        <v>723</v>
      </c>
      <c r="C423" t="s">
        <v>724</v>
      </c>
      <c r="D423" t="e">
        <v>#N/A</v>
      </c>
      <c r="E423" t="s">
        <v>18</v>
      </c>
      <c r="F423" t="str">
        <f t="shared" si="6"/>
        <v>AUD</v>
      </c>
    </row>
    <row r="424" spans="2:6" x14ac:dyDescent="0.35">
      <c r="B424" t="s">
        <v>725</v>
      </c>
      <c r="C424">
        <v>6702623</v>
      </c>
      <c r="D424" t="s">
        <v>1558</v>
      </c>
      <c r="F424" t="str">
        <f t="shared" si="6"/>
        <v>Australia</v>
      </c>
    </row>
    <row r="425" spans="2:6" x14ac:dyDescent="0.35">
      <c r="B425" t="s">
        <v>726</v>
      </c>
      <c r="C425" t="s">
        <v>727</v>
      </c>
      <c r="D425" t="s">
        <v>1582</v>
      </c>
      <c r="F425" t="str">
        <f t="shared" si="6"/>
        <v>Brazil</v>
      </c>
    </row>
    <row r="426" spans="2:6" x14ac:dyDescent="0.35">
      <c r="B426" t="s">
        <v>728</v>
      </c>
      <c r="C426" t="s">
        <v>729</v>
      </c>
      <c r="D426" t="e">
        <v>#N/A</v>
      </c>
      <c r="E426" t="s">
        <v>54</v>
      </c>
      <c r="F426" t="str">
        <f t="shared" si="6"/>
        <v>HKD</v>
      </c>
    </row>
    <row r="427" spans="2:6" x14ac:dyDescent="0.35">
      <c r="B427" t="s">
        <v>730</v>
      </c>
      <c r="C427" t="s">
        <v>731</v>
      </c>
      <c r="D427" t="s">
        <v>1569</v>
      </c>
      <c r="F427" t="str">
        <f t="shared" si="6"/>
        <v>China</v>
      </c>
    </row>
    <row r="428" spans="2:6" x14ac:dyDescent="0.35">
      <c r="B428" t="s">
        <v>732</v>
      </c>
      <c r="C428" t="s">
        <v>733</v>
      </c>
      <c r="D428" t="s">
        <v>1561</v>
      </c>
      <c r="F428" t="str">
        <f t="shared" si="6"/>
        <v>United States</v>
      </c>
    </row>
    <row r="429" spans="2:6" x14ac:dyDescent="0.35">
      <c r="B429" t="s">
        <v>734</v>
      </c>
      <c r="C429">
        <v>2475833</v>
      </c>
      <c r="D429" t="s">
        <v>1561</v>
      </c>
      <c r="F429" t="str">
        <f t="shared" si="6"/>
        <v>United States</v>
      </c>
    </row>
    <row r="430" spans="2:6" x14ac:dyDescent="0.35">
      <c r="B430" t="s">
        <v>735</v>
      </c>
      <c r="C430">
        <v>2190385</v>
      </c>
      <c r="D430" t="s">
        <v>1561</v>
      </c>
      <c r="F430" t="str">
        <f t="shared" si="6"/>
        <v>United States</v>
      </c>
    </row>
    <row r="431" spans="2:6" x14ac:dyDescent="0.35">
      <c r="B431" t="s">
        <v>736</v>
      </c>
      <c r="C431" t="s">
        <v>737</v>
      </c>
      <c r="D431" t="e">
        <v>#N/A</v>
      </c>
      <c r="E431" t="s">
        <v>1552</v>
      </c>
      <c r="F431" t="str">
        <f t="shared" si="6"/>
        <v>KZ</v>
      </c>
    </row>
    <row r="432" spans="2:6" x14ac:dyDescent="0.35">
      <c r="B432" t="s">
        <v>738</v>
      </c>
      <c r="C432" t="s">
        <v>739</v>
      </c>
      <c r="D432" t="e">
        <v>#N/A</v>
      </c>
      <c r="E432" t="s">
        <v>18</v>
      </c>
      <c r="F432" t="str">
        <f t="shared" si="6"/>
        <v>AUD</v>
      </c>
    </row>
    <row r="433" spans="2:6" x14ac:dyDescent="0.35">
      <c r="B433" t="s">
        <v>740</v>
      </c>
      <c r="C433">
        <v>6524474</v>
      </c>
      <c r="D433" t="e">
        <v>#N/A</v>
      </c>
      <c r="E433" t="s">
        <v>18</v>
      </c>
      <c r="F433" t="str">
        <f t="shared" si="6"/>
        <v>AUD</v>
      </c>
    </row>
    <row r="434" spans="2:6" x14ac:dyDescent="0.35">
      <c r="B434" t="s">
        <v>741</v>
      </c>
      <c r="C434" t="s">
        <v>742</v>
      </c>
      <c r="D434" t="e">
        <v>#N/A</v>
      </c>
      <c r="E434" t="s">
        <v>21</v>
      </c>
      <c r="F434" t="str">
        <f t="shared" si="6"/>
        <v>USD</v>
      </c>
    </row>
    <row r="435" spans="2:6" x14ac:dyDescent="0.35">
      <c r="B435" t="s">
        <v>743</v>
      </c>
      <c r="C435" t="s">
        <v>744</v>
      </c>
      <c r="D435" t="e">
        <v>#N/A</v>
      </c>
      <c r="E435" t="s">
        <v>18</v>
      </c>
      <c r="F435" t="str">
        <f t="shared" si="6"/>
        <v>AUD</v>
      </c>
    </row>
    <row r="436" spans="2:6" x14ac:dyDescent="0.35">
      <c r="B436" t="s">
        <v>745</v>
      </c>
      <c r="C436">
        <v>6888794</v>
      </c>
      <c r="D436" t="s">
        <v>1593</v>
      </c>
      <c r="F436" t="str">
        <f t="shared" si="6"/>
        <v>Thailand</v>
      </c>
    </row>
    <row r="437" spans="2:6" x14ac:dyDescent="0.35">
      <c r="B437" t="s">
        <v>746</v>
      </c>
      <c r="C437" t="s">
        <v>747</v>
      </c>
      <c r="D437" t="s">
        <v>1585</v>
      </c>
      <c r="F437" t="str">
        <f t="shared" si="6"/>
        <v>South Korea</v>
      </c>
    </row>
    <row r="438" spans="2:6" x14ac:dyDescent="0.35">
      <c r="B438" t="s">
        <v>748</v>
      </c>
      <c r="C438">
        <v>4497749</v>
      </c>
      <c r="D438" t="s">
        <v>1566</v>
      </c>
      <c r="F438" t="str">
        <f t="shared" si="6"/>
        <v>Belgium</v>
      </c>
    </row>
    <row r="439" spans="2:6" x14ac:dyDescent="0.35">
      <c r="B439" t="s">
        <v>749</v>
      </c>
      <c r="C439" t="s">
        <v>750</v>
      </c>
      <c r="D439" t="s">
        <v>1561</v>
      </c>
      <c r="F439" t="str">
        <f t="shared" si="6"/>
        <v>United States</v>
      </c>
    </row>
    <row r="440" spans="2:6" x14ac:dyDescent="0.35">
      <c r="B440" t="s">
        <v>751</v>
      </c>
      <c r="C440" t="s">
        <v>752</v>
      </c>
      <c r="D440" t="s">
        <v>1561</v>
      </c>
      <c r="F440" t="str">
        <f t="shared" si="6"/>
        <v>United States</v>
      </c>
    </row>
    <row r="441" spans="2:6" x14ac:dyDescent="0.35">
      <c r="B441" t="s">
        <v>753</v>
      </c>
      <c r="C441">
        <v>6490928</v>
      </c>
      <c r="D441" t="s">
        <v>1585</v>
      </c>
      <c r="F441" t="str">
        <f t="shared" si="6"/>
        <v>South Korea</v>
      </c>
    </row>
    <row r="442" spans="2:6" x14ac:dyDescent="0.35">
      <c r="B442" t="s">
        <v>754</v>
      </c>
      <c r="C442" t="s">
        <v>755</v>
      </c>
      <c r="D442" t="e">
        <v>#N/A</v>
      </c>
      <c r="E442" t="s">
        <v>18</v>
      </c>
      <c r="F442" t="str">
        <f t="shared" si="6"/>
        <v>AUD</v>
      </c>
    </row>
    <row r="443" spans="2:6" x14ac:dyDescent="0.35">
      <c r="B443" t="s">
        <v>756</v>
      </c>
      <c r="C443">
        <v>3319521</v>
      </c>
      <c r="D443" t="s">
        <v>1559</v>
      </c>
      <c r="F443" t="str">
        <f t="shared" si="6"/>
        <v>United Kingdom</v>
      </c>
    </row>
    <row r="444" spans="2:6" x14ac:dyDescent="0.35">
      <c r="B444" t="s">
        <v>757</v>
      </c>
      <c r="C444" t="s">
        <v>758</v>
      </c>
      <c r="D444" t="e">
        <v>#N/A</v>
      </c>
      <c r="E444" t="s">
        <v>54</v>
      </c>
      <c r="F444" t="str">
        <f t="shared" si="6"/>
        <v>HKD</v>
      </c>
    </row>
    <row r="445" spans="2:6" x14ac:dyDescent="0.35">
      <c r="B445" t="s">
        <v>759</v>
      </c>
      <c r="C445" t="s">
        <v>760</v>
      </c>
      <c r="D445" t="s">
        <v>1567</v>
      </c>
      <c r="F445" t="str">
        <f t="shared" si="6"/>
        <v>Canada</v>
      </c>
    </row>
    <row r="446" spans="2:6" x14ac:dyDescent="0.35">
      <c r="B446" t="s">
        <v>761</v>
      </c>
      <c r="C446">
        <v>2480138</v>
      </c>
      <c r="D446" t="s">
        <v>1561</v>
      </c>
      <c r="F446" t="str">
        <f t="shared" si="6"/>
        <v>United States</v>
      </c>
    </row>
    <row r="447" spans="2:6" x14ac:dyDescent="0.35">
      <c r="B447" t="s">
        <v>762</v>
      </c>
      <c r="C447" t="s">
        <v>763</v>
      </c>
      <c r="D447" t="e">
        <v>#N/A</v>
      </c>
      <c r="E447" t="s">
        <v>57</v>
      </c>
      <c r="F447" t="str">
        <f t="shared" si="6"/>
        <v>NZD</v>
      </c>
    </row>
    <row r="448" spans="2:6" x14ac:dyDescent="0.35">
      <c r="B448" t="s">
        <v>764</v>
      </c>
      <c r="C448" t="s">
        <v>765</v>
      </c>
      <c r="D448" t="e">
        <v>#N/A</v>
      </c>
      <c r="E448" t="s">
        <v>18</v>
      </c>
      <c r="F448" t="str">
        <f t="shared" si="6"/>
        <v>AUD</v>
      </c>
    </row>
    <row r="449" spans="2:6" x14ac:dyDescent="0.35">
      <c r="B449" t="s">
        <v>766</v>
      </c>
      <c r="C449">
        <v>6496584</v>
      </c>
      <c r="D449" t="s">
        <v>1563</v>
      </c>
      <c r="F449" t="str">
        <f t="shared" si="6"/>
        <v>Japan</v>
      </c>
    </row>
    <row r="450" spans="2:6" x14ac:dyDescent="0.35">
      <c r="B450" t="s">
        <v>767</v>
      </c>
      <c r="C450">
        <v>5956078</v>
      </c>
      <c r="D450" t="s">
        <v>1564</v>
      </c>
      <c r="F450" t="str">
        <f t="shared" si="6"/>
        <v>Netherlands</v>
      </c>
    </row>
    <row r="451" spans="2:6" x14ac:dyDescent="0.35">
      <c r="B451" t="s">
        <v>768</v>
      </c>
      <c r="C451">
        <v>5986622</v>
      </c>
      <c r="D451" t="s">
        <v>1564</v>
      </c>
      <c r="F451" t="str">
        <f t="shared" ref="F451:F514" si="7">_xlfn.IFNA(D451,E451)</f>
        <v>Netherlands</v>
      </c>
    </row>
    <row r="452" spans="2:6" x14ac:dyDescent="0.35">
      <c r="B452" t="s">
        <v>769</v>
      </c>
      <c r="C452">
        <v>6654586</v>
      </c>
      <c r="D452" t="s">
        <v>1585</v>
      </c>
      <c r="F452" t="str">
        <f t="shared" si="7"/>
        <v>South Korea</v>
      </c>
    </row>
    <row r="453" spans="2:6" x14ac:dyDescent="0.35">
      <c r="B453" t="s">
        <v>770</v>
      </c>
      <c r="C453" t="s">
        <v>771</v>
      </c>
      <c r="D453" t="s">
        <v>1561</v>
      </c>
      <c r="F453" t="str">
        <f t="shared" si="7"/>
        <v>United States</v>
      </c>
    </row>
    <row r="454" spans="2:6" x14ac:dyDescent="0.35">
      <c r="B454" t="s">
        <v>772</v>
      </c>
      <c r="C454" t="s">
        <v>773</v>
      </c>
      <c r="D454" t="e">
        <v>#N/A</v>
      </c>
      <c r="E454" t="s">
        <v>1536</v>
      </c>
      <c r="F454" t="str">
        <f t="shared" si="7"/>
        <v>KRW</v>
      </c>
    </row>
    <row r="455" spans="2:6" x14ac:dyDescent="0.35">
      <c r="B455" t="s">
        <v>774</v>
      </c>
      <c r="C455">
        <v>2497406</v>
      </c>
      <c r="D455" t="s">
        <v>1561</v>
      </c>
      <c r="F455" t="str">
        <f t="shared" si="7"/>
        <v>United States</v>
      </c>
    </row>
    <row r="456" spans="2:6" x14ac:dyDescent="0.35">
      <c r="B456" t="s">
        <v>775</v>
      </c>
      <c r="C456" t="s">
        <v>776</v>
      </c>
      <c r="D456" t="s">
        <v>1569</v>
      </c>
      <c r="F456" t="str">
        <f t="shared" si="7"/>
        <v>China</v>
      </c>
    </row>
    <row r="457" spans="2:6" x14ac:dyDescent="0.35">
      <c r="B457" t="s">
        <v>777</v>
      </c>
      <c r="C457" t="s">
        <v>778</v>
      </c>
      <c r="D457" t="s">
        <v>1594</v>
      </c>
      <c r="F457" t="str">
        <f t="shared" si="7"/>
        <v>South Africa</v>
      </c>
    </row>
    <row r="458" spans="2:6" x14ac:dyDescent="0.35">
      <c r="B458" t="s">
        <v>779</v>
      </c>
      <c r="C458">
        <v>6340078</v>
      </c>
      <c r="D458" t="s">
        <v>1568</v>
      </c>
      <c r="F458" t="str">
        <f t="shared" si="7"/>
        <v>Hong Kong</v>
      </c>
    </row>
    <row r="459" spans="2:6" x14ac:dyDescent="0.35">
      <c r="B459" t="s">
        <v>780</v>
      </c>
      <c r="C459" t="s">
        <v>781</v>
      </c>
      <c r="D459" t="s">
        <v>1569</v>
      </c>
      <c r="F459" t="str">
        <f t="shared" si="7"/>
        <v>China</v>
      </c>
    </row>
    <row r="460" spans="2:6" x14ac:dyDescent="0.35">
      <c r="B460" t="s">
        <v>782</v>
      </c>
      <c r="C460" t="s">
        <v>783</v>
      </c>
      <c r="D460" t="e">
        <v>#N/A</v>
      </c>
      <c r="E460" t="s">
        <v>31</v>
      </c>
      <c r="F460" t="str">
        <f t="shared" si="7"/>
        <v>EUR</v>
      </c>
    </row>
    <row r="461" spans="2:6" x14ac:dyDescent="0.35">
      <c r="B461" t="s">
        <v>784</v>
      </c>
      <c r="C461" t="s">
        <v>785</v>
      </c>
      <c r="D461" t="s">
        <v>1561</v>
      </c>
      <c r="F461" t="str">
        <f t="shared" si="7"/>
        <v>United States</v>
      </c>
    </row>
    <row r="462" spans="2:6" x14ac:dyDescent="0.35">
      <c r="B462" t="s">
        <v>786</v>
      </c>
      <c r="C462" t="s">
        <v>787</v>
      </c>
      <c r="D462" t="s">
        <v>1561</v>
      </c>
      <c r="F462" t="str">
        <f t="shared" si="7"/>
        <v>United States</v>
      </c>
    </row>
    <row r="463" spans="2:6" x14ac:dyDescent="0.35">
      <c r="B463" t="s">
        <v>788</v>
      </c>
      <c r="C463" t="s">
        <v>789</v>
      </c>
      <c r="D463" t="e">
        <v>#N/A</v>
      </c>
      <c r="E463" t="s">
        <v>31</v>
      </c>
      <c r="F463" t="str">
        <f t="shared" si="7"/>
        <v>EUR</v>
      </c>
    </row>
    <row r="464" spans="2:6" x14ac:dyDescent="0.35">
      <c r="B464" t="s">
        <v>790</v>
      </c>
      <c r="C464" t="s">
        <v>791</v>
      </c>
      <c r="D464" t="s">
        <v>1572</v>
      </c>
      <c r="F464" t="str">
        <f t="shared" si="7"/>
        <v>France</v>
      </c>
    </row>
    <row r="465" spans="2:6" x14ac:dyDescent="0.35">
      <c r="B465" t="s">
        <v>792</v>
      </c>
      <c r="C465">
        <v>2511920</v>
      </c>
      <c r="D465" t="s">
        <v>1561</v>
      </c>
      <c r="F465" t="str">
        <f t="shared" si="7"/>
        <v>United States</v>
      </c>
    </row>
    <row r="466" spans="2:6" x14ac:dyDescent="0.35">
      <c r="B466" t="s">
        <v>793</v>
      </c>
      <c r="C466">
        <v>6218089</v>
      </c>
      <c r="D466" t="s">
        <v>1569</v>
      </c>
      <c r="F466" t="str">
        <f t="shared" si="7"/>
        <v>China</v>
      </c>
    </row>
    <row r="467" spans="2:6" x14ac:dyDescent="0.35">
      <c r="B467" t="s">
        <v>794</v>
      </c>
      <c r="C467" t="s">
        <v>795</v>
      </c>
      <c r="D467" t="s">
        <v>1579</v>
      </c>
      <c r="F467" t="str">
        <f t="shared" si="7"/>
        <v>Italy</v>
      </c>
    </row>
    <row r="468" spans="2:6" x14ac:dyDescent="0.35">
      <c r="B468" t="s">
        <v>796</v>
      </c>
      <c r="C468" t="s">
        <v>797</v>
      </c>
      <c r="D468" t="e">
        <v>#N/A</v>
      </c>
      <c r="E468" t="s">
        <v>18</v>
      </c>
      <c r="F468" t="str">
        <f t="shared" si="7"/>
        <v>AUD</v>
      </c>
    </row>
    <row r="469" spans="2:6" x14ac:dyDescent="0.35">
      <c r="B469" t="s">
        <v>798</v>
      </c>
      <c r="C469" t="s">
        <v>799</v>
      </c>
      <c r="D469" t="s">
        <v>1561</v>
      </c>
      <c r="F469" t="str">
        <f t="shared" si="7"/>
        <v>United States</v>
      </c>
    </row>
    <row r="470" spans="2:6" x14ac:dyDescent="0.35">
      <c r="B470" t="s">
        <v>800</v>
      </c>
      <c r="C470" t="s">
        <v>801</v>
      </c>
      <c r="D470" t="s">
        <v>1559</v>
      </c>
      <c r="F470" t="str">
        <f t="shared" si="7"/>
        <v>United Kingdom</v>
      </c>
    </row>
    <row r="471" spans="2:6" x14ac:dyDescent="0.35">
      <c r="B471" t="s">
        <v>802</v>
      </c>
      <c r="C471">
        <v>6103710</v>
      </c>
      <c r="D471" t="e">
        <v>#N/A</v>
      </c>
      <c r="E471" t="s">
        <v>18</v>
      </c>
      <c r="F471" t="str">
        <f t="shared" si="7"/>
        <v>AUD</v>
      </c>
    </row>
    <row r="472" spans="2:6" x14ac:dyDescent="0.35">
      <c r="B472" t="s">
        <v>803</v>
      </c>
      <c r="C472">
        <v>870612</v>
      </c>
      <c r="D472" t="s">
        <v>1559</v>
      </c>
      <c r="F472" t="str">
        <f t="shared" si="7"/>
        <v>United Kingdom</v>
      </c>
    </row>
    <row r="473" spans="2:6" x14ac:dyDescent="0.35">
      <c r="B473" t="s">
        <v>804</v>
      </c>
      <c r="C473">
        <v>2521800</v>
      </c>
      <c r="D473" t="s">
        <v>1567</v>
      </c>
      <c r="F473" t="str">
        <f t="shared" si="7"/>
        <v>Canada</v>
      </c>
    </row>
    <row r="474" spans="2:6" x14ac:dyDescent="0.35">
      <c r="B474" t="s">
        <v>805</v>
      </c>
      <c r="C474" t="s">
        <v>806</v>
      </c>
      <c r="D474" t="e">
        <v>#N/A</v>
      </c>
      <c r="E474" t="s">
        <v>26</v>
      </c>
      <c r="F474" t="str">
        <f t="shared" si="7"/>
        <v>BRL</v>
      </c>
    </row>
    <row r="475" spans="2:6" x14ac:dyDescent="0.35">
      <c r="B475" t="s">
        <v>807</v>
      </c>
      <c r="C475" t="s">
        <v>808</v>
      </c>
      <c r="D475" t="e">
        <v>#N/A</v>
      </c>
      <c r="E475" t="s">
        <v>54</v>
      </c>
      <c r="F475" t="str">
        <f t="shared" si="7"/>
        <v>HKD</v>
      </c>
    </row>
    <row r="476" spans="2:6" x14ac:dyDescent="0.35">
      <c r="B476" t="s">
        <v>809</v>
      </c>
      <c r="C476">
        <v>4057808</v>
      </c>
      <c r="D476" t="s">
        <v>1572</v>
      </c>
      <c r="F476" t="str">
        <f t="shared" si="7"/>
        <v>France</v>
      </c>
    </row>
    <row r="477" spans="2:6" x14ac:dyDescent="0.35">
      <c r="B477" t="s">
        <v>810</v>
      </c>
      <c r="C477" t="s">
        <v>811</v>
      </c>
      <c r="D477" t="s">
        <v>1558</v>
      </c>
      <c r="F477" t="str">
        <f t="shared" si="7"/>
        <v>Australia</v>
      </c>
    </row>
    <row r="478" spans="2:6" x14ac:dyDescent="0.35">
      <c r="B478" t="s">
        <v>812</v>
      </c>
      <c r="C478" t="s">
        <v>813</v>
      </c>
      <c r="D478" t="s">
        <v>1558</v>
      </c>
      <c r="F478" t="str">
        <f t="shared" si="7"/>
        <v>Australia</v>
      </c>
    </row>
    <row r="479" spans="2:6" x14ac:dyDescent="0.35">
      <c r="B479" t="s">
        <v>814</v>
      </c>
      <c r="C479">
        <v>2536763</v>
      </c>
      <c r="D479" t="s">
        <v>1561</v>
      </c>
      <c r="F479" t="str">
        <f t="shared" si="7"/>
        <v>United States</v>
      </c>
    </row>
    <row r="480" spans="2:6" x14ac:dyDescent="0.35">
      <c r="B480" t="s">
        <v>815</v>
      </c>
      <c r="C480" t="s">
        <v>816</v>
      </c>
      <c r="D480" t="s">
        <v>1561</v>
      </c>
      <c r="F480" t="str">
        <f t="shared" si="7"/>
        <v>United States</v>
      </c>
    </row>
    <row r="481" spans="2:6" x14ac:dyDescent="0.35">
      <c r="B481" t="s">
        <v>817</v>
      </c>
      <c r="C481">
        <v>4061412</v>
      </c>
      <c r="D481" t="s">
        <v>1572</v>
      </c>
      <c r="F481" t="str">
        <f t="shared" si="7"/>
        <v>France</v>
      </c>
    </row>
    <row r="482" spans="2:6" x14ac:dyDescent="0.35">
      <c r="B482" t="s">
        <v>818</v>
      </c>
      <c r="C482" t="s">
        <v>819</v>
      </c>
      <c r="D482" t="e">
        <v>#N/A</v>
      </c>
      <c r="E482" t="s">
        <v>18</v>
      </c>
      <c r="F482" t="str">
        <f t="shared" si="7"/>
        <v>AUD</v>
      </c>
    </row>
    <row r="483" spans="2:6" x14ac:dyDescent="0.35">
      <c r="B483" t="s">
        <v>820</v>
      </c>
      <c r="C483">
        <v>6121176</v>
      </c>
      <c r="D483" t="s">
        <v>1558</v>
      </c>
      <c r="F483" t="str">
        <f t="shared" si="7"/>
        <v>Australia</v>
      </c>
    </row>
    <row r="484" spans="2:6" x14ac:dyDescent="0.35">
      <c r="B484" t="s">
        <v>821</v>
      </c>
      <c r="C484">
        <v>6551160</v>
      </c>
      <c r="D484" t="e">
        <v>#N/A</v>
      </c>
      <c r="E484" t="s">
        <v>18</v>
      </c>
      <c r="F484" t="str">
        <f t="shared" si="7"/>
        <v>AUD</v>
      </c>
    </row>
    <row r="485" spans="2:6" x14ac:dyDescent="0.35">
      <c r="B485" t="s">
        <v>822</v>
      </c>
      <c r="C485" t="s">
        <v>823</v>
      </c>
      <c r="D485" t="s">
        <v>1558</v>
      </c>
      <c r="F485" t="str">
        <f t="shared" si="7"/>
        <v>Australia</v>
      </c>
    </row>
    <row r="486" spans="2:6" x14ac:dyDescent="0.35">
      <c r="B486" t="s">
        <v>824</v>
      </c>
      <c r="C486" t="s">
        <v>825</v>
      </c>
      <c r="D486" t="e">
        <v>#N/A</v>
      </c>
      <c r="E486" t="s">
        <v>18</v>
      </c>
      <c r="F486" t="str">
        <f t="shared" si="7"/>
        <v>AUD</v>
      </c>
    </row>
    <row r="487" spans="2:6" x14ac:dyDescent="0.35">
      <c r="B487" t="s">
        <v>826</v>
      </c>
      <c r="C487" t="s">
        <v>827</v>
      </c>
      <c r="D487" t="e">
        <v>#N/A</v>
      </c>
      <c r="E487" t="s">
        <v>18</v>
      </c>
      <c r="F487" t="str">
        <f t="shared" si="7"/>
        <v>AUD</v>
      </c>
    </row>
    <row r="488" spans="2:6" x14ac:dyDescent="0.35">
      <c r="B488" t="s">
        <v>828</v>
      </c>
      <c r="C488">
        <v>6100186</v>
      </c>
      <c r="D488" t="e">
        <v>#N/A</v>
      </c>
      <c r="E488" t="s">
        <v>34</v>
      </c>
      <c r="F488" t="str">
        <f t="shared" si="7"/>
        <v>INR</v>
      </c>
    </row>
    <row r="489" spans="2:6" x14ac:dyDescent="0.35">
      <c r="B489" t="s">
        <v>829</v>
      </c>
      <c r="C489">
        <v>6556325</v>
      </c>
      <c r="D489" t="e">
        <v>#N/A</v>
      </c>
      <c r="E489" t="s">
        <v>1537</v>
      </c>
      <c r="F489" t="str">
        <f t="shared" si="7"/>
        <v>MYR</v>
      </c>
    </row>
    <row r="490" spans="2:6" x14ac:dyDescent="0.35">
      <c r="B490" t="s">
        <v>830</v>
      </c>
      <c r="C490">
        <v>2492519</v>
      </c>
      <c r="D490" t="s">
        <v>1567</v>
      </c>
      <c r="F490" t="str">
        <f t="shared" si="7"/>
        <v>Canada</v>
      </c>
    </row>
    <row r="491" spans="2:6" x14ac:dyDescent="0.35">
      <c r="B491" t="s">
        <v>831</v>
      </c>
      <c r="C491" t="s">
        <v>832</v>
      </c>
      <c r="D491" t="s">
        <v>1561</v>
      </c>
      <c r="F491" t="str">
        <f t="shared" si="7"/>
        <v>United States</v>
      </c>
    </row>
    <row r="492" spans="2:6" x14ac:dyDescent="0.35">
      <c r="B492" t="s">
        <v>833</v>
      </c>
      <c r="C492">
        <v>6569464</v>
      </c>
      <c r="D492" t="s">
        <v>1563</v>
      </c>
      <c r="F492" t="str">
        <f t="shared" si="7"/>
        <v>Japan</v>
      </c>
    </row>
    <row r="493" spans="2:6" x14ac:dyDescent="0.35">
      <c r="B493" t="s">
        <v>834</v>
      </c>
      <c r="C493" t="s">
        <v>835</v>
      </c>
      <c r="D493" t="s">
        <v>1595</v>
      </c>
      <c r="F493" t="str">
        <f t="shared" si="7"/>
        <v>Bermuda</v>
      </c>
    </row>
    <row r="494" spans="2:6" x14ac:dyDescent="0.35">
      <c r="B494" t="s">
        <v>836</v>
      </c>
      <c r="C494">
        <v>2570200</v>
      </c>
      <c r="D494" t="s">
        <v>1561</v>
      </c>
      <c r="F494" t="str">
        <f t="shared" si="7"/>
        <v>United States</v>
      </c>
    </row>
    <row r="495" spans="2:6" x14ac:dyDescent="0.35">
      <c r="B495" t="s">
        <v>837</v>
      </c>
      <c r="C495" t="s">
        <v>838</v>
      </c>
      <c r="D495" t="s">
        <v>1561</v>
      </c>
      <c r="F495" t="str">
        <f t="shared" si="7"/>
        <v>United States</v>
      </c>
    </row>
    <row r="496" spans="2:6" x14ac:dyDescent="0.35">
      <c r="B496" t="s">
        <v>839</v>
      </c>
      <c r="C496" t="s">
        <v>840</v>
      </c>
      <c r="D496" t="s">
        <v>1561</v>
      </c>
      <c r="F496" t="str">
        <f t="shared" si="7"/>
        <v>United States</v>
      </c>
    </row>
    <row r="497" spans="2:6" x14ac:dyDescent="0.35">
      <c r="B497" t="s">
        <v>841</v>
      </c>
      <c r="C497" t="s">
        <v>842</v>
      </c>
      <c r="D497" t="e">
        <v>#N/A</v>
      </c>
      <c r="E497" t="s">
        <v>18</v>
      </c>
      <c r="F497" t="str">
        <f t="shared" si="7"/>
        <v>AUD</v>
      </c>
    </row>
    <row r="498" spans="2:6" x14ac:dyDescent="0.35">
      <c r="B498" t="s">
        <v>843</v>
      </c>
      <c r="C498">
        <v>2550161</v>
      </c>
      <c r="D498" t="s">
        <v>1561</v>
      </c>
      <c r="F498" t="str">
        <f t="shared" si="7"/>
        <v>United States</v>
      </c>
    </row>
    <row r="499" spans="2:6" x14ac:dyDescent="0.35">
      <c r="B499" t="s">
        <v>844</v>
      </c>
      <c r="C499">
        <v>2550707</v>
      </c>
      <c r="D499" t="s">
        <v>1561</v>
      </c>
      <c r="F499" t="str">
        <f t="shared" si="7"/>
        <v>United States</v>
      </c>
    </row>
    <row r="500" spans="2:6" x14ac:dyDescent="0.35">
      <c r="B500" t="s">
        <v>845</v>
      </c>
      <c r="C500">
        <v>2378534</v>
      </c>
      <c r="D500" t="s">
        <v>1561</v>
      </c>
      <c r="F500" t="str">
        <f t="shared" si="7"/>
        <v>United States</v>
      </c>
    </row>
    <row r="501" spans="2:6" x14ac:dyDescent="0.35">
      <c r="B501" t="s">
        <v>846</v>
      </c>
      <c r="C501" t="s">
        <v>847</v>
      </c>
      <c r="D501" t="e">
        <v>#N/A</v>
      </c>
      <c r="E501" t="s">
        <v>18</v>
      </c>
      <c r="F501" t="str">
        <f t="shared" si="7"/>
        <v>AUD</v>
      </c>
    </row>
    <row r="502" spans="2:6" x14ac:dyDescent="0.35">
      <c r="B502" t="s">
        <v>848</v>
      </c>
      <c r="C502">
        <v>6372480</v>
      </c>
      <c r="D502" t="s">
        <v>1571</v>
      </c>
      <c r="F502" t="str">
        <f t="shared" si="7"/>
        <v>Taiwan</v>
      </c>
    </row>
    <row r="503" spans="2:6" x14ac:dyDescent="0.35">
      <c r="B503" t="s">
        <v>849</v>
      </c>
      <c r="C503" t="s">
        <v>850</v>
      </c>
      <c r="D503" t="s">
        <v>1558</v>
      </c>
      <c r="F503" t="str">
        <f t="shared" si="7"/>
        <v>Australia</v>
      </c>
    </row>
    <row r="504" spans="2:6" x14ac:dyDescent="0.35">
      <c r="B504" t="s">
        <v>851</v>
      </c>
      <c r="C504" t="s">
        <v>852</v>
      </c>
      <c r="D504" t="s">
        <v>1561</v>
      </c>
      <c r="F504" t="str">
        <f t="shared" si="7"/>
        <v>United States</v>
      </c>
    </row>
    <row r="505" spans="2:6" x14ac:dyDescent="0.35">
      <c r="B505" t="s">
        <v>853</v>
      </c>
      <c r="C505" t="s">
        <v>854</v>
      </c>
      <c r="D505" t="s">
        <v>1569</v>
      </c>
      <c r="F505" t="str">
        <f t="shared" si="7"/>
        <v>China</v>
      </c>
    </row>
    <row r="506" spans="2:6" x14ac:dyDescent="0.35">
      <c r="B506" t="s">
        <v>855</v>
      </c>
      <c r="C506" t="s">
        <v>856</v>
      </c>
      <c r="D506" t="s">
        <v>1561</v>
      </c>
      <c r="F506" t="str">
        <f t="shared" si="7"/>
        <v>United States</v>
      </c>
    </row>
    <row r="507" spans="2:6" x14ac:dyDescent="0.35">
      <c r="B507" t="s">
        <v>857</v>
      </c>
      <c r="C507">
        <v>2778844</v>
      </c>
      <c r="D507" t="s">
        <v>1561</v>
      </c>
      <c r="F507" t="str">
        <f t="shared" si="7"/>
        <v>United States</v>
      </c>
    </row>
    <row r="508" spans="2:6" x14ac:dyDescent="0.35">
      <c r="B508" t="s">
        <v>858</v>
      </c>
      <c r="C508" t="s">
        <v>859</v>
      </c>
      <c r="D508" t="s">
        <v>1596</v>
      </c>
      <c r="F508" t="str">
        <f t="shared" si="7"/>
        <v>New Zealand</v>
      </c>
    </row>
    <row r="509" spans="2:6" x14ac:dyDescent="0.35">
      <c r="B509" t="s">
        <v>860</v>
      </c>
      <c r="C509" t="s">
        <v>861</v>
      </c>
      <c r="D509" t="e">
        <v>#N/A</v>
      </c>
      <c r="E509" t="s">
        <v>1536</v>
      </c>
      <c r="F509" t="str">
        <f t="shared" si="7"/>
        <v>KRW</v>
      </c>
    </row>
    <row r="510" spans="2:6" x14ac:dyDescent="0.35">
      <c r="B510" t="s">
        <v>862</v>
      </c>
      <c r="C510" t="s">
        <v>863</v>
      </c>
      <c r="D510" t="e">
        <v>#N/A</v>
      </c>
      <c r="E510" t="s">
        <v>18</v>
      </c>
      <c r="F510" t="str">
        <f t="shared" si="7"/>
        <v>AUD</v>
      </c>
    </row>
    <row r="511" spans="2:6" x14ac:dyDescent="0.35">
      <c r="B511" t="s">
        <v>864</v>
      </c>
      <c r="C511" t="s">
        <v>865</v>
      </c>
      <c r="D511" t="s">
        <v>1561</v>
      </c>
      <c r="F511" t="str">
        <f t="shared" si="7"/>
        <v>United States</v>
      </c>
    </row>
    <row r="512" spans="2:6" x14ac:dyDescent="0.35">
      <c r="B512" t="s">
        <v>866</v>
      </c>
      <c r="C512" t="s">
        <v>867</v>
      </c>
      <c r="D512" t="s">
        <v>1558</v>
      </c>
      <c r="F512" t="str">
        <f t="shared" si="7"/>
        <v>Australia</v>
      </c>
    </row>
    <row r="513" spans="2:6" x14ac:dyDescent="0.35">
      <c r="B513" t="s">
        <v>868</v>
      </c>
      <c r="C513">
        <v>6514442</v>
      </c>
      <c r="D513" t="e">
        <v>#N/A</v>
      </c>
      <c r="E513" t="s">
        <v>1538</v>
      </c>
      <c r="F513" t="str">
        <f t="shared" si="7"/>
        <v>PHP</v>
      </c>
    </row>
    <row r="514" spans="2:6" x14ac:dyDescent="0.35">
      <c r="B514" t="s">
        <v>869</v>
      </c>
      <c r="C514">
        <v>2126249</v>
      </c>
      <c r="D514" t="s">
        <v>1561</v>
      </c>
      <c r="F514" t="str">
        <f t="shared" si="7"/>
        <v>United States</v>
      </c>
    </row>
    <row r="515" spans="2:6" x14ac:dyDescent="0.35">
      <c r="B515" t="s">
        <v>870</v>
      </c>
      <c r="C515">
        <v>2588173</v>
      </c>
      <c r="D515" t="s">
        <v>1561</v>
      </c>
      <c r="F515" t="str">
        <f t="shared" ref="F515:F578" si="8">_xlfn.IFNA(D515,E515)</f>
        <v>United States</v>
      </c>
    </row>
    <row r="516" spans="2:6" x14ac:dyDescent="0.35">
      <c r="B516" t="s">
        <v>871</v>
      </c>
      <c r="C516" t="s">
        <v>872</v>
      </c>
      <c r="D516" t="e">
        <v>#N/A</v>
      </c>
      <c r="E516" t="s">
        <v>50</v>
      </c>
      <c r="F516" t="str">
        <f t="shared" si="8"/>
        <v>CNY</v>
      </c>
    </row>
    <row r="517" spans="2:6" x14ac:dyDescent="0.35">
      <c r="B517" t="s">
        <v>873</v>
      </c>
      <c r="C517" t="s">
        <v>874</v>
      </c>
      <c r="D517" t="s">
        <v>1558</v>
      </c>
      <c r="F517" t="str">
        <f t="shared" si="8"/>
        <v>Australia</v>
      </c>
    </row>
    <row r="518" spans="2:6" x14ac:dyDescent="0.35">
      <c r="B518" t="s">
        <v>875</v>
      </c>
      <c r="C518">
        <v>6249658</v>
      </c>
      <c r="D518" t="e">
        <v>#N/A</v>
      </c>
      <c r="E518" t="s">
        <v>1536</v>
      </c>
      <c r="F518" t="str">
        <f t="shared" si="8"/>
        <v>KRW</v>
      </c>
    </row>
    <row r="519" spans="2:6" x14ac:dyDescent="0.35">
      <c r="B519" t="s">
        <v>876</v>
      </c>
      <c r="C519">
        <v>6597045</v>
      </c>
      <c r="D519" t="s">
        <v>1563</v>
      </c>
      <c r="F519" t="str">
        <f t="shared" si="8"/>
        <v>Japan</v>
      </c>
    </row>
    <row r="520" spans="2:6" x14ac:dyDescent="0.35">
      <c r="B520" t="s">
        <v>877</v>
      </c>
      <c r="C520">
        <v>6596729</v>
      </c>
      <c r="D520" t="s">
        <v>1563</v>
      </c>
      <c r="F520" t="str">
        <f t="shared" si="8"/>
        <v>Japan</v>
      </c>
    </row>
    <row r="521" spans="2:6" x14ac:dyDescent="0.35">
      <c r="B521" t="s">
        <v>878</v>
      </c>
      <c r="C521">
        <v>6597302</v>
      </c>
      <c r="D521" t="s">
        <v>1563</v>
      </c>
      <c r="F521" t="str">
        <f t="shared" si="8"/>
        <v>Japan</v>
      </c>
    </row>
    <row r="522" spans="2:6" x14ac:dyDescent="0.35">
      <c r="B522" t="s">
        <v>879</v>
      </c>
      <c r="C522">
        <v>6597603</v>
      </c>
      <c r="D522" t="s">
        <v>1563</v>
      </c>
      <c r="F522" t="str">
        <f t="shared" si="8"/>
        <v>Japan</v>
      </c>
    </row>
    <row r="523" spans="2:6" x14ac:dyDescent="0.35">
      <c r="B523" t="s">
        <v>880</v>
      </c>
      <c r="C523" t="s">
        <v>881</v>
      </c>
      <c r="D523" t="s">
        <v>1561</v>
      </c>
      <c r="F523" t="str">
        <f t="shared" si="8"/>
        <v>United States</v>
      </c>
    </row>
    <row r="524" spans="2:6" x14ac:dyDescent="0.35">
      <c r="B524" t="s">
        <v>882</v>
      </c>
      <c r="C524">
        <v>6600471</v>
      </c>
      <c r="D524" t="e">
        <v>#N/A</v>
      </c>
      <c r="E524" t="s">
        <v>18</v>
      </c>
      <c r="F524" t="str">
        <f t="shared" si="8"/>
        <v>AUD</v>
      </c>
    </row>
    <row r="525" spans="2:6" x14ac:dyDescent="0.35">
      <c r="B525" t="s">
        <v>883</v>
      </c>
      <c r="C525" t="s">
        <v>884</v>
      </c>
      <c r="D525" t="e">
        <v>#N/A</v>
      </c>
      <c r="E525" t="s">
        <v>18</v>
      </c>
      <c r="F525" t="str">
        <f t="shared" si="8"/>
        <v>AUD</v>
      </c>
    </row>
    <row r="526" spans="2:6" x14ac:dyDescent="0.35">
      <c r="B526" t="s">
        <v>885</v>
      </c>
      <c r="C526" t="s">
        <v>886</v>
      </c>
      <c r="D526" t="s">
        <v>1579</v>
      </c>
      <c r="F526" t="str">
        <f t="shared" si="8"/>
        <v>Italy</v>
      </c>
    </row>
    <row r="527" spans="2:6" x14ac:dyDescent="0.35">
      <c r="B527" t="s">
        <v>887</v>
      </c>
      <c r="C527" t="s">
        <v>888</v>
      </c>
      <c r="D527" t="s">
        <v>1561</v>
      </c>
      <c r="F527" t="str">
        <f t="shared" si="8"/>
        <v>United States</v>
      </c>
    </row>
    <row r="528" spans="2:6" x14ac:dyDescent="0.35">
      <c r="B528" t="s">
        <v>889</v>
      </c>
      <c r="C528" t="s">
        <v>890</v>
      </c>
      <c r="D528" t="e">
        <v>#N/A</v>
      </c>
      <c r="E528" t="s">
        <v>29</v>
      </c>
      <c r="F528" t="str">
        <f t="shared" si="8"/>
        <v>CZK</v>
      </c>
    </row>
    <row r="529" spans="2:6" x14ac:dyDescent="0.35">
      <c r="B529" t="s">
        <v>891</v>
      </c>
      <c r="C529">
        <v>2262314</v>
      </c>
      <c r="D529" t="s">
        <v>1561</v>
      </c>
      <c r="F529" t="str">
        <f t="shared" si="8"/>
        <v>United States</v>
      </c>
    </row>
    <row r="530" spans="2:6" x14ac:dyDescent="0.35">
      <c r="B530" t="s">
        <v>892</v>
      </c>
      <c r="C530" t="s">
        <v>893</v>
      </c>
      <c r="D530" t="s">
        <v>1561</v>
      </c>
      <c r="F530" t="str">
        <f t="shared" si="8"/>
        <v>United States</v>
      </c>
    </row>
    <row r="531" spans="2:6" x14ac:dyDescent="0.35">
      <c r="B531" t="s">
        <v>894</v>
      </c>
      <c r="C531">
        <v>5294121</v>
      </c>
      <c r="D531" t="s">
        <v>1570</v>
      </c>
      <c r="F531" t="str">
        <f t="shared" si="8"/>
        <v>Germany</v>
      </c>
    </row>
    <row r="532" spans="2:6" x14ac:dyDescent="0.35">
      <c r="B532" t="s">
        <v>895</v>
      </c>
      <c r="C532" t="s">
        <v>896</v>
      </c>
      <c r="D532" t="e">
        <v>#N/A</v>
      </c>
      <c r="E532" t="s">
        <v>34</v>
      </c>
      <c r="F532" t="str">
        <f t="shared" si="8"/>
        <v>INR</v>
      </c>
    </row>
    <row r="533" spans="2:6" x14ac:dyDescent="0.35">
      <c r="B533" t="s">
        <v>897</v>
      </c>
      <c r="C533" t="s">
        <v>898</v>
      </c>
      <c r="D533" t="e">
        <v>#N/A</v>
      </c>
      <c r="E533" t="s">
        <v>18</v>
      </c>
      <c r="F533" t="str">
        <f t="shared" si="8"/>
        <v>AUD</v>
      </c>
    </row>
    <row r="534" spans="2:6" x14ac:dyDescent="0.35">
      <c r="B534" t="s">
        <v>899</v>
      </c>
      <c r="C534" t="s">
        <v>900</v>
      </c>
      <c r="D534" t="e">
        <v>#N/A</v>
      </c>
      <c r="E534" t="s">
        <v>18</v>
      </c>
      <c r="F534" t="str">
        <f t="shared" si="8"/>
        <v>AUD</v>
      </c>
    </row>
    <row r="535" spans="2:6" x14ac:dyDescent="0.35">
      <c r="B535" t="s">
        <v>901</v>
      </c>
      <c r="C535" t="s">
        <v>902</v>
      </c>
      <c r="D535" t="e">
        <v>#N/A</v>
      </c>
      <c r="E535" t="s">
        <v>18</v>
      </c>
      <c r="F535" t="str">
        <f t="shared" si="8"/>
        <v>AUD</v>
      </c>
    </row>
    <row r="536" spans="2:6" x14ac:dyDescent="0.35">
      <c r="B536" t="s">
        <v>903</v>
      </c>
      <c r="C536" t="s">
        <v>904</v>
      </c>
      <c r="D536" t="e">
        <v>#N/A</v>
      </c>
      <c r="E536" t="s">
        <v>41</v>
      </c>
      <c r="F536" t="str">
        <f t="shared" si="8"/>
        <v>ZAR</v>
      </c>
    </row>
    <row r="537" spans="2:6" x14ac:dyDescent="0.35">
      <c r="B537" t="s">
        <v>905</v>
      </c>
      <c r="C537">
        <v>6624608</v>
      </c>
      <c r="D537" t="s">
        <v>1558</v>
      </c>
      <c r="F537" t="str">
        <f t="shared" si="8"/>
        <v>Australia</v>
      </c>
    </row>
    <row r="538" spans="2:6" x14ac:dyDescent="0.35">
      <c r="B538" t="s">
        <v>906</v>
      </c>
      <c r="C538">
        <v>2077303</v>
      </c>
      <c r="D538" t="s">
        <v>1567</v>
      </c>
      <c r="F538" t="str">
        <f t="shared" si="8"/>
        <v>Canada</v>
      </c>
    </row>
    <row r="539" spans="2:6" x14ac:dyDescent="0.35">
      <c r="B539" t="s">
        <v>907</v>
      </c>
      <c r="C539" t="s">
        <v>908</v>
      </c>
      <c r="D539" t="s">
        <v>1559</v>
      </c>
      <c r="F539" t="str">
        <f t="shared" si="8"/>
        <v>United Kingdom</v>
      </c>
    </row>
    <row r="540" spans="2:6" x14ac:dyDescent="0.35">
      <c r="B540" t="s">
        <v>909</v>
      </c>
      <c r="C540" t="s">
        <v>910</v>
      </c>
      <c r="D540" t="e">
        <v>#N/A</v>
      </c>
      <c r="E540" t="s">
        <v>18</v>
      </c>
      <c r="F540" t="str">
        <f t="shared" si="8"/>
        <v>AUD</v>
      </c>
    </row>
    <row r="541" spans="2:6" x14ac:dyDescent="0.35">
      <c r="B541" t="s">
        <v>911</v>
      </c>
      <c r="C541">
        <v>6640400</v>
      </c>
      <c r="D541" t="s">
        <v>1563</v>
      </c>
      <c r="F541" t="str">
        <f t="shared" si="8"/>
        <v>Japan</v>
      </c>
    </row>
    <row r="542" spans="2:6" x14ac:dyDescent="0.35">
      <c r="B542" t="s">
        <v>912</v>
      </c>
      <c r="C542">
        <v>6628008</v>
      </c>
      <c r="D542" t="s">
        <v>1594</v>
      </c>
      <c r="F542" t="str">
        <f t="shared" si="8"/>
        <v>South Africa</v>
      </c>
    </row>
    <row r="543" spans="2:6" x14ac:dyDescent="0.35">
      <c r="B543" t="s">
        <v>913</v>
      </c>
      <c r="C543">
        <v>7123870</v>
      </c>
      <c r="D543" t="s">
        <v>1560</v>
      </c>
      <c r="F543" t="str">
        <f t="shared" si="8"/>
        <v>Switzerland</v>
      </c>
    </row>
    <row r="544" spans="2:6" x14ac:dyDescent="0.35">
      <c r="B544" t="s">
        <v>914</v>
      </c>
      <c r="C544">
        <v>2630643</v>
      </c>
      <c r="D544" t="s">
        <v>1561</v>
      </c>
      <c r="F544" t="str">
        <f t="shared" si="8"/>
        <v>United States</v>
      </c>
    </row>
    <row r="545" spans="2:6" x14ac:dyDescent="0.35">
      <c r="B545" t="s">
        <v>915</v>
      </c>
      <c r="C545" t="s">
        <v>916</v>
      </c>
      <c r="D545" t="e">
        <v>#N/A</v>
      </c>
      <c r="E545" t="s">
        <v>50</v>
      </c>
      <c r="F545" t="str">
        <f t="shared" si="8"/>
        <v>CNY</v>
      </c>
    </row>
    <row r="546" spans="2:6" x14ac:dyDescent="0.35">
      <c r="B546" t="s">
        <v>917</v>
      </c>
      <c r="C546">
        <v>2857817</v>
      </c>
      <c r="D546" t="s">
        <v>1561</v>
      </c>
      <c r="F546" t="str">
        <f t="shared" si="8"/>
        <v>United States</v>
      </c>
    </row>
    <row r="547" spans="2:6" x14ac:dyDescent="0.35">
      <c r="B547" t="s">
        <v>918</v>
      </c>
      <c r="C547" t="s">
        <v>919</v>
      </c>
      <c r="D547" t="e">
        <v>#N/A</v>
      </c>
      <c r="E547" t="s">
        <v>18</v>
      </c>
      <c r="F547" t="str">
        <f t="shared" si="8"/>
        <v>AUD</v>
      </c>
    </row>
    <row r="548" spans="2:6" x14ac:dyDescent="0.35">
      <c r="B548" t="s">
        <v>920</v>
      </c>
      <c r="C548" t="s">
        <v>921</v>
      </c>
      <c r="D548" t="e">
        <v>#N/A</v>
      </c>
      <c r="E548" t="s">
        <v>18</v>
      </c>
      <c r="F548" t="str">
        <f t="shared" si="8"/>
        <v>AUD</v>
      </c>
    </row>
    <row r="549" spans="2:6" x14ac:dyDescent="0.35">
      <c r="B549" t="s">
        <v>922</v>
      </c>
      <c r="C549" t="s">
        <v>923</v>
      </c>
      <c r="D549" t="s">
        <v>1561</v>
      </c>
      <c r="F549" t="str">
        <f t="shared" si="8"/>
        <v>United States</v>
      </c>
    </row>
    <row r="550" spans="2:6" x14ac:dyDescent="0.35">
      <c r="B550" t="s">
        <v>924</v>
      </c>
      <c r="C550" t="s">
        <v>925</v>
      </c>
      <c r="D550" t="e">
        <v>#N/A</v>
      </c>
      <c r="E550" t="s">
        <v>18</v>
      </c>
      <c r="F550" t="str">
        <f t="shared" si="8"/>
        <v>AUD</v>
      </c>
    </row>
    <row r="551" spans="2:6" x14ac:dyDescent="0.35">
      <c r="B551" t="s">
        <v>926</v>
      </c>
      <c r="C551">
        <v>3208986</v>
      </c>
      <c r="D551" t="s">
        <v>1559</v>
      </c>
      <c r="F551" t="str">
        <f t="shared" si="8"/>
        <v>United Kingdom</v>
      </c>
    </row>
    <row r="552" spans="2:6" x14ac:dyDescent="0.35">
      <c r="B552" t="s">
        <v>927</v>
      </c>
      <c r="C552" t="s">
        <v>928</v>
      </c>
      <c r="D552" t="s">
        <v>1558</v>
      </c>
      <c r="F552" t="str">
        <f t="shared" si="8"/>
        <v>Australia</v>
      </c>
    </row>
    <row r="553" spans="2:6" x14ac:dyDescent="0.35">
      <c r="B553" t="s">
        <v>929</v>
      </c>
      <c r="C553">
        <v>2328915</v>
      </c>
      <c r="D553" t="s">
        <v>1561</v>
      </c>
      <c r="F553" t="str">
        <f t="shared" si="8"/>
        <v>United States</v>
      </c>
    </row>
    <row r="554" spans="2:6" x14ac:dyDescent="0.35">
      <c r="B554" t="s">
        <v>930</v>
      </c>
      <c r="C554">
        <v>6537085</v>
      </c>
      <c r="D554" t="e">
        <v>#N/A</v>
      </c>
      <c r="E554" t="s">
        <v>1536</v>
      </c>
      <c r="F554" t="str">
        <f t="shared" si="8"/>
        <v>KRW</v>
      </c>
    </row>
    <row r="555" spans="2:6" x14ac:dyDescent="0.35">
      <c r="B555" t="s">
        <v>931</v>
      </c>
      <c r="C555" t="s">
        <v>932</v>
      </c>
      <c r="D555" t="s">
        <v>1558</v>
      </c>
      <c r="F555" t="str">
        <f t="shared" si="8"/>
        <v>Australia</v>
      </c>
    </row>
    <row r="556" spans="2:6" x14ac:dyDescent="0.35">
      <c r="B556" t="s">
        <v>933</v>
      </c>
      <c r="C556">
        <v>6647133</v>
      </c>
      <c r="D556" t="s">
        <v>1574</v>
      </c>
      <c r="F556" t="str">
        <f t="shared" si="8"/>
        <v>Israel</v>
      </c>
    </row>
    <row r="557" spans="2:6" x14ac:dyDescent="0.35">
      <c r="B557" t="s">
        <v>934</v>
      </c>
      <c r="C557" t="s">
        <v>935</v>
      </c>
      <c r="D557" t="e">
        <v>#N/A</v>
      </c>
      <c r="E557" t="s">
        <v>18</v>
      </c>
      <c r="F557" t="str">
        <f t="shared" si="8"/>
        <v>AUD</v>
      </c>
    </row>
    <row r="558" spans="2:6" x14ac:dyDescent="0.35">
      <c r="B558" t="s">
        <v>936</v>
      </c>
      <c r="C558">
        <v>2640147</v>
      </c>
      <c r="D558" t="s">
        <v>1561</v>
      </c>
      <c r="F558" t="str">
        <f t="shared" si="8"/>
        <v>United States</v>
      </c>
    </row>
    <row r="559" spans="2:6" x14ac:dyDescent="0.35">
      <c r="B559" t="s">
        <v>937</v>
      </c>
      <c r="C559">
        <v>6641801</v>
      </c>
      <c r="D559" t="s">
        <v>1563</v>
      </c>
      <c r="F559" t="str">
        <f t="shared" si="8"/>
        <v>Japan</v>
      </c>
    </row>
    <row r="560" spans="2:6" x14ac:dyDescent="0.35">
      <c r="B560" t="s">
        <v>938</v>
      </c>
      <c r="C560">
        <v>6148119</v>
      </c>
      <c r="D560" t="s">
        <v>1577</v>
      </c>
      <c r="F560" t="str">
        <f t="shared" si="8"/>
        <v>India</v>
      </c>
    </row>
    <row r="561" spans="2:6" x14ac:dyDescent="0.35">
      <c r="B561" t="s">
        <v>939</v>
      </c>
      <c r="C561" t="s">
        <v>940</v>
      </c>
      <c r="D561" t="s">
        <v>1564</v>
      </c>
      <c r="F561" t="str">
        <f t="shared" si="8"/>
        <v>Netherlands</v>
      </c>
    </row>
    <row r="562" spans="2:6" x14ac:dyDescent="0.35">
      <c r="B562" t="s">
        <v>941</v>
      </c>
      <c r="C562">
        <v>5902941</v>
      </c>
      <c r="D562" t="s">
        <v>1590</v>
      </c>
      <c r="F562" t="str">
        <f t="shared" si="8"/>
        <v>Finland</v>
      </c>
    </row>
    <row r="563" spans="2:6" x14ac:dyDescent="0.35">
      <c r="B563" t="s">
        <v>942</v>
      </c>
      <c r="C563">
        <v>6643108</v>
      </c>
      <c r="D563" t="s">
        <v>1563</v>
      </c>
      <c r="F563" t="str">
        <f t="shared" si="8"/>
        <v>Japan</v>
      </c>
    </row>
    <row r="564" spans="2:6" x14ac:dyDescent="0.35">
      <c r="B564" t="s">
        <v>943</v>
      </c>
      <c r="C564" t="s">
        <v>944</v>
      </c>
      <c r="D564" t="s">
        <v>1590</v>
      </c>
      <c r="F564" t="str">
        <f t="shared" si="8"/>
        <v>Finland</v>
      </c>
    </row>
    <row r="565" spans="2:6" x14ac:dyDescent="0.35">
      <c r="B565" t="s">
        <v>945</v>
      </c>
      <c r="C565">
        <v>6717456</v>
      </c>
      <c r="D565" t="s">
        <v>1558</v>
      </c>
      <c r="F565" t="str">
        <f t="shared" si="8"/>
        <v>Australia</v>
      </c>
    </row>
    <row r="566" spans="2:6" x14ac:dyDescent="0.35">
      <c r="B566" t="s">
        <v>946</v>
      </c>
      <c r="C566">
        <v>2648668</v>
      </c>
      <c r="D566" t="s">
        <v>1561</v>
      </c>
      <c r="F566" t="str">
        <f t="shared" si="8"/>
        <v>United States</v>
      </c>
    </row>
    <row r="567" spans="2:6" x14ac:dyDescent="0.35">
      <c r="B567" t="s">
        <v>947</v>
      </c>
      <c r="C567">
        <v>2648806</v>
      </c>
      <c r="D567" t="s">
        <v>1561</v>
      </c>
      <c r="F567" t="str">
        <f t="shared" si="8"/>
        <v>United States</v>
      </c>
    </row>
    <row r="568" spans="2:6" x14ac:dyDescent="0.35">
      <c r="B568" t="s">
        <v>948</v>
      </c>
      <c r="C568">
        <v>7103065</v>
      </c>
      <c r="D568" t="s">
        <v>1560</v>
      </c>
      <c r="F568" t="str">
        <f t="shared" si="8"/>
        <v>Switzerland</v>
      </c>
    </row>
    <row r="569" spans="2:6" x14ac:dyDescent="0.35">
      <c r="B569" t="s">
        <v>949</v>
      </c>
      <c r="C569">
        <v>6346333</v>
      </c>
      <c r="D569" t="s">
        <v>1571</v>
      </c>
      <c r="F569" t="str">
        <f t="shared" si="8"/>
        <v>Taiwan</v>
      </c>
    </row>
    <row r="570" spans="2:6" x14ac:dyDescent="0.35">
      <c r="B570" t="s">
        <v>950</v>
      </c>
      <c r="C570" t="s">
        <v>951</v>
      </c>
      <c r="D570" t="s">
        <v>1580</v>
      </c>
      <c r="F570" t="str">
        <f t="shared" si="8"/>
        <v>Denmark</v>
      </c>
    </row>
    <row r="571" spans="2:6" x14ac:dyDescent="0.35">
      <c r="B571" t="s">
        <v>952</v>
      </c>
      <c r="C571" t="s">
        <v>953</v>
      </c>
      <c r="D571" t="e">
        <v>#N/A</v>
      </c>
      <c r="E571" t="s">
        <v>18</v>
      </c>
      <c r="F571" t="str">
        <f t="shared" si="8"/>
        <v>AUD</v>
      </c>
    </row>
    <row r="572" spans="2:6" x14ac:dyDescent="0.35">
      <c r="B572" t="s">
        <v>954</v>
      </c>
      <c r="C572" t="s">
        <v>955</v>
      </c>
      <c r="D572" t="s">
        <v>1582</v>
      </c>
      <c r="F572" t="str">
        <f t="shared" si="8"/>
        <v>Brazil</v>
      </c>
    </row>
    <row r="573" spans="2:6" x14ac:dyDescent="0.35">
      <c r="B573" t="s">
        <v>956</v>
      </c>
      <c r="C573">
        <v>6335331</v>
      </c>
      <c r="D573" t="e">
        <v>#N/A</v>
      </c>
      <c r="E573" t="s">
        <v>18</v>
      </c>
      <c r="F573" t="str">
        <f t="shared" si="8"/>
        <v>AUD</v>
      </c>
    </row>
    <row r="574" spans="2:6" x14ac:dyDescent="0.35">
      <c r="B574" t="s">
        <v>957</v>
      </c>
      <c r="C574" t="s">
        <v>958</v>
      </c>
      <c r="D574" t="e">
        <v>#N/A</v>
      </c>
      <c r="E574" t="s">
        <v>18</v>
      </c>
      <c r="F574" t="str">
        <f t="shared" si="8"/>
        <v>AUD</v>
      </c>
    </row>
    <row r="575" spans="2:6" x14ac:dyDescent="0.35">
      <c r="B575" t="s">
        <v>959</v>
      </c>
      <c r="C575">
        <v>2379504</v>
      </c>
      <c r="D575" t="s">
        <v>1561</v>
      </c>
      <c r="F575" t="str">
        <f t="shared" si="8"/>
        <v>United States</v>
      </c>
    </row>
    <row r="576" spans="2:6" x14ac:dyDescent="0.35">
      <c r="B576" t="s">
        <v>960</v>
      </c>
      <c r="C576" t="s">
        <v>961</v>
      </c>
      <c r="D576" t="s">
        <v>1564</v>
      </c>
      <c r="F576" t="str">
        <f t="shared" si="8"/>
        <v>Netherlands</v>
      </c>
    </row>
    <row r="577" spans="2:6" x14ac:dyDescent="0.35">
      <c r="B577" t="s">
        <v>962</v>
      </c>
      <c r="C577">
        <v>6283407</v>
      </c>
      <c r="D577" t="s">
        <v>1558</v>
      </c>
      <c r="F577" t="str">
        <f t="shared" si="8"/>
        <v>Australia</v>
      </c>
    </row>
    <row r="578" spans="2:6" x14ac:dyDescent="0.35">
      <c r="B578" t="s">
        <v>963</v>
      </c>
      <c r="C578" t="s">
        <v>964</v>
      </c>
      <c r="D578" t="e">
        <v>#N/A</v>
      </c>
      <c r="E578" t="s">
        <v>18</v>
      </c>
      <c r="F578" t="str">
        <f t="shared" si="8"/>
        <v>AUD</v>
      </c>
    </row>
    <row r="579" spans="2:6" x14ac:dyDescent="0.35">
      <c r="B579" t="s">
        <v>965</v>
      </c>
      <c r="C579">
        <v>6139362</v>
      </c>
      <c r="D579" t="s">
        <v>1577</v>
      </c>
      <c r="F579" t="str">
        <f t="shared" ref="F579:F642" si="9">_xlfn.IFNA(D579,E579)</f>
        <v>India</v>
      </c>
    </row>
    <row r="580" spans="2:6" x14ac:dyDescent="0.35">
      <c r="B580" t="s">
        <v>966</v>
      </c>
      <c r="C580" t="s">
        <v>967</v>
      </c>
      <c r="D580" t="e">
        <v>#N/A</v>
      </c>
      <c r="E580" t="s">
        <v>41</v>
      </c>
      <c r="F580" t="str">
        <f t="shared" si="9"/>
        <v>ZAR</v>
      </c>
    </row>
    <row r="581" spans="2:6" x14ac:dyDescent="0.35">
      <c r="B581" t="s">
        <v>968</v>
      </c>
      <c r="C581">
        <v>2279303</v>
      </c>
      <c r="D581" t="s">
        <v>1561</v>
      </c>
      <c r="F581" t="str">
        <f t="shared" si="9"/>
        <v>United States</v>
      </c>
    </row>
    <row r="582" spans="2:6" x14ac:dyDescent="0.35">
      <c r="B582" t="s">
        <v>969</v>
      </c>
      <c r="C582" t="s">
        <v>970</v>
      </c>
      <c r="D582" t="e">
        <v>#N/A</v>
      </c>
      <c r="E582" t="s">
        <v>1549</v>
      </c>
      <c r="F582" t="str">
        <f t="shared" si="9"/>
        <v>AU</v>
      </c>
    </row>
    <row r="583" spans="2:6" x14ac:dyDescent="0.35">
      <c r="B583" t="s">
        <v>971</v>
      </c>
      <c r="C583">
        <v>7107250</v>
      </c>
      <c r="D583" t="e">
        <v>#N/A</v>
      </c>
      <c r="E583" t="s">
        <v>31</v>
      </c>
      <c r="F583" t="str">
        <f t="shared" si="9"/>
        <v>EUR</v>
      </c>
    </row>
    <row r="584" spans="2:6" x14ac:dyDescent="0.35">
      <c r="B584" t="s">
        <v>972</v>
      </c>
      <c r="C584">
        <v>2260824</v>
      </c>
      <c r="D584" t="e">
        <v>#N/A</v>
      </c>
      <c r="E584" t="s">
        <v>31</v>
      </c>
      <c r="F584" t="str">
        <f t="shared" si="9"/>
        <v>EUR</v>
      </c>
    </row>
    <row r="585" spans="2:6" x14ac:dyDescent="0.35">
      <c r="B585" t="s">
        <v>973</v>
      </c>
      <c r="C585">
        <v>2661568</v>
      </c>
      <c r="D585" t="s">
        <v>1561</v>
      </c>
      <c r="F585" t="str">
        <f t="shared" si="9"/>
        <v>United States</v>
      </c>
    </row>
    <row r="586" spans="2:6" x14ac:dyDescent="0.35">
      <c r="B586" t="s">
        <v>974</v>
      </c>
      <c r="C586">
        <v>6458001</v>
      </c>
      <c r="D586" t="s">
        <v>1558</v>
      </c>
      <c r="F586" t="str">
        <f t="shared" si="9"/>
        <v>Australia</v>
      </c>
    </row>
    <row r="587" spans="2:6" x14ac:dyDescent="0.35">
      <c r="B587" t="s">
        <v>975</v>
      </c>
      <c r="C587">
        <v>6214861</v>
      </c>
      <c r="D587" t="s">
        <v>1558</v>
      </c>
      <c r="F587" t="str">
        <f t="shared" si="9"/>
        <v>Australia</v>
      </c>
    </row>
    <row r="588" spans="2:6" x14ac:dyDescent="0.35">
      <c r="B588" t="s">
        <v>976</v>
      </c>
      <c r="C588">
        <v>6661144</v>
      </c>
      <c r="D588" t="s">
        <v>1563</v>
      </c>
      <c r="F588" t="str">
        <f t="shared" si="9"/>
        <v>Japan</v>
      </c>
    </row>
    <row r="589" spans="2:6" x14ac:dyDescent="0.35">
      <c r="B589" t="s">
        <v>977</v>
      </c>
      <c r="C589" t="s">
        <v>978</v>
      </c>
      <c r="D589" t="s">
        <v>1588</v>
      </c>
      <c r="F589" t="str">
        <f t="shared" si="9"/>
        <v>Norway</v>
      </c>
    </row>
    <row r="590" spans="2:6" x14ac:dyDescent="0.35">
      <c r="B590" t="s">
        <v>979</v>
      </c>
      <c r="C590" t="s">
        <v>980</v>
      </c>
      <c r="D590" t="s">
        <v>1558</v>
      </c>
      <c r="F590" t="str">
        <f t="shared" si="9"/>
        <v>Australia</v>
      </c>
    </row>
    <row r="591" spans="2:6" x14ac:dyDescent="0.35">
      <c r="B591" t="s">
        <v>981</v>
      </c>
      <c r="C591" t="s">
        <v>982</v>
      </c>
      <c r="D591" t="s">
        <v>1563</v>
      </c>
      <c r="F591" t="str">
        <f t="shared" si="9"/>
        <v>Japan</v>
      </c>
    </row>
    <row r="592" spans="2:6" x14ac:dyDescent="0.35">
      <c r="B592" t="s">
        <v>983</v>
      </c>
      <c r="C592" t="s">
        <v>984</v>
      </c>
      <c r="D592" t="s">
        <v>1587</v>
      </c>
      <c r="F592" t="str">
        <f t="shared" si="9"/>
        <v>Singapore</v>
      </c>
    </row>
    <row r="593" spans="2:6" x14ac:dyDescent="0.35">
      <c r="B593" t="s">
        <v>985</v>
      </c>
      <c r="C593" t="s">
        <v>986</v>
      </c>
      <c r="D593" t="s">
        <v>1561</v>
      </c>
      <c r="F593" t="str">
        <f t="shared" si="9"/>
        <v>United States</v>
      </c>
    </row>
    <row r="594" spans="2:6" x14ac:dyDescent="0.35">
      <c r="B594" t="s">
        <v>987</v>
      </c>
      <c r="C594">
        <v>2665861</v>
      </c>
      <c r="D594" t="s">
        <v>1561</v>
      </c>
      <c r="F594" t="str">
        <f t="shared" si="9"/>
        <v>United States</v>
      </c>
    </row>
    <row r="595" spans="2:6" x14ac:dyDescent="0.35">
      <c r="B595" t="s">
        <v>988</v>
      </c>
      <c r="C595" t="s">
        <v>989</v>
      </c>
      <c r="D595" t="e">
        <v>#N/A</v>
      </c>
      <c r="E595" t="s">
        <v>34</v>
      </c>
      <c r="F595" t="str">
        <f t="shared" si="9"/>
        <v>INR</v>
      </c>
    </row>
    <row r="596" spans="2:6" x14ac:dyDescent="0.35">
      <c r="B596" t="s">
        <v>990</v>
      </c>
      <c r="C596" t="s">
        <v>991</v>
      </c>
      <c r="D596" t="s">
        <v>1561</v>
      </c>
      <c r="F596" t="str">
        <f t="shared" si="9"/>
        <v>United States</v>
      </c>
    </row>
    <row r="597" spans="2:6" x14ac:dyDescent="0.35">
      <c r="B597" t="s">
        <v>992</v>
      </c>
      <c r="C597" t="s">
        <v>993</v>
      </c>
      <c r="D597" t="s">
        <v>1580</v>
      </c>
      <c r="F597" t="str">
        <f t="shared" si="9"/>
        <v>Denmark</v>
      </c>
    </row>
    <row r="598" spans="2:6" x14ac:dyDescent="0.35">
      <c r="B598" t="s">
        <v>994</v>
      </c>
      <c r="C598">
        <v>2671501</v>
      </c>
      <c r="D598" t="s">
        <v>1561</v>
      </c>
      <c r="F598" t="str">
        <f t="shared" si="9"/>
        <v>United States</v>
      </c>
    </row>
    <row r="599" spans="2:6" x14ac:dyDescent="0.35">
      <c r="B599" t="s">
        <v>995</v>
      </c>
      <c r="C599" t="s">
        <v>996</v>
      </c>
      <c r="D599" t="s">
        <v>1567</v>
      </c>
      <c r="F599" t="str">
        <f t="shared" si="9"/>
        <v>Canada</v>
      </c>
    </row>
    <row r="600" spans="2:6" x14ac:dyDescent="0.35">
      <c r="B600" t="s">
        <v>997</v>
      </c>
      <c r="C600" t="s">
        <v>998</v>
      </c>
      <c r="D600" t="s">
        <v>1561</v>
      </c>
      <c r="F600" t="str">
        <f t="shared" si="9"/>
        <v>United States</v>
      </c>
    </row>
    <row r="601" spans="2:6" x14ac:dyDescent="0.35">
      <c r="B601" t="s">
        <v>999</v>
      </c>
      <c r="C601" t="s">
        <v>1000</v>
      </c>
      <c r="D601" t="s">
        <v>1569</v>
      </c>
      <c r="F601" t="str">
        <f t="shared" si="9"/>
        <v>China</v>
      </c>
    </row>
    <row r="602" spans="2:6" x14ac:dyDescent="0.35">
      <c r="B602" t="s">
        <v>1001</v>
      </c>
      <c r="C602" t="s">
        <v>1002</v>
      </c>
      <c r="D602" t="e">
        <v>#N/A</v>
      </c>
      <c r="E602" t="s">
        <v>1535</v>
      </c>
      <c r="F602" t="str">
        <f t="shared" si="9"/>
        <v>TWD</v>
      </c>
    </row>
    <row r="603" spans="2:6" x14ac:dyDescent="0.35">
      <c r="B603" t="s">
        <v>1003</v>
      </c>
      <c r="C603" t="s">
        <v>1004</v>
      </c>
      <c r="D603" t="s">
        <v>1559</v>
      </c>
      <c r="F603" t="str">
        <f t="shared" si="9"/>
        <v>United Kingdom</v>
      </c>
    </row>
    <row r="604" spans="2:6" x14ac:dyDescent="0.35">
      <c r="B604" t="s">
        <v>1005</v>
      </c>
      <c r="C604" t="s">
        <v>1006</v>
      </c>
      <c r="D604" t="s">
        <v>1558</v>
      </c>
      <c r="F604" t="str">
        <f t="shared" si="9"/>
        <v>Australia</v>
      </c>
    </row>
    <row r="605" spans="2:6" x14ac:dyDescent="0.35">
      <c r="B605" t="s">
        <v>1007</v>
      </c>
      <c r="C605">
        <v>2681511</v>
      </c>
      <c r="D605" t="s">
        <v>1561</v>
      </c>
      <c r="F605" t="str">
        <f t="shared" si="9"/>
        <v>United States</v>
      </c>
    </row>
    <row r="606" spans="2:6" x14ac:dyDescent="0.35">
      <c r="B606" t="s">
        <v>1008</v>
      </c>
      <c r="C606" t="s">
        <v>1009</v>
      </c>
      <c r="D606" t="e">
        <v>#N/A</v>
      </c>
      <c r="E606" t="s">
        <v>18</v>
      </c>
      <c r="F606" t="str">
        <f t="shared" si="9"/>
        <v>AUD</v>
      </c>
    </row>
    <row r="607" spans="2:6" x14ac:dyDescent="0.35">
      <c r="B607" t="s">
        <v>1010</v>
      </c>
      <c r="C607">
        <v>4682329</v>
      </c>
      <c r="D607" t="s">
        <v>1572</v>
      </c>
      <c r="F607" t="str">
        <f t="shared" si="9"/>
        <v>France</v>
      </c>
    </row>
    <row r="608" spans="2:6" x14ac:dyDescent="0.35">
      <c r="B608" t="s">
        <v>1011</v>
      </c>
      <c r="C608" t="s">
        <v>1012</v>
      </c>
      <c r="D608" t="e">
        <v>#N/A</v>
      </c>
      <c r="E608" t="s">
        <v>18</v>
      </c>
      <c r="F608" t="str">
        <f t="shared" si="9"/>
        <v>AUD</v>
      </c>
    </row>
    <row r="609" spans="2:6" x14ac:dyDescent="0.35">
      <c r="B609" t="s">
        <v>1013</v>
      </c>
      <c r="C609" t="s">
        <v>1014</v>
      </c>
      <c r="D609" t="s">
        <v>1577</v>
      </c>
      <c r="F609" t="str">
        <f t="shared" si="9"/>
        <v>India</v>
      </c>
    </row>
    <row r="610" spans="2:6" x14ac:dyDescent="0.35">
      <c r="B610" t="s">
        <v>1015</v>
      </c>
      <c r="C610" t="s">
        <v>1016</v>
      </c>
      <c r="D610" t="e">
        <v>#N/A</v>
      </c>
      <c r="E610" t="s">
        <v>18</v>
      </c>
      <c r="F610" t="str">
        <f t="shared" si="9"/>
        <v>AUD</v>
      </c>
    </row>
    <row r="611" spans="2:6" x14ac:dyDescent="0.35">
      <c r="B611" t="s">
        <v>1017</v>
      </c>
      <c r="C611">
        <v>2684703</v>
      </c>
      <c r="D611" t="s">
        <v>1561</v>
      </c>
      <c r="F611" t="str">
        <f t="shared" si="9"/>
        <v>United States</v>
      </c>
    </row>
    <row r="612" spans="2:6" x14ac:dyDescent="0.35">
      <c r="B612" t="s">
        <v>1018</v>
      </c>
      <c r="C612">
        <v>2689560</v>
      </c>
      <c r="D612" t="s">
        <v>1561</v>
      </c>
      <c r="F612" t="str">
        <f t="shared" si="9"/>
        <v>United States</v>
      </c>
    </row>
    <row r="613" spans="2:6" x14ac:dyDescent="0.35">
      <c r="B613" t="s">
        <v>1019</v>
      </c>
      <c r="C613" t="s">
        <v>1020</v>
      </c>
      <c r="D613" t="s">
        <v>1561</v>
      </c>
      <c r="F613" t="str">
        <f t="shared" si="9"/>
        <v>United States</v>
      </c>
    </row>
    <row r="614" spans="2:6" x14ac:dyDescent="0.35">
      <c r="B614" t="s">
        <v>1021</v>
      </c>
      <c r="C614">
        <v>6706250</v>
      </c>
      <c r="D614" t="s">
        <v>1569</v>
      </c>
      <c r="F614" t="str">
        <f t="shared" si="9"/>
        <v>China</v>
      </c>
    </row>
    <row r="615" spans="2:6" x14ac:dyDescent="0.35">
      <c r="B615" t="s">
        <v>1022</v>
      </c>
      <c r="C615" t="s">
        <v>1023</v>
      </c>
      <c r="D615" t="e">
        <v>#N/A</v>
      </c>
      <c r="E615" t="s">
        <v>34</v>
      </c>
      <c r="F615" t="str">
        <f t="shared" si="9"/>
        <v>INR</v>
      </c>
    </row>
    <row r="616" spans="2:6" x14ac:dyDescent="0.35">
      <c r="B616" t="s">
        <v>1024</v>
      </c>
      <c r="C616" t="s">
        <v>1025</v>
      </c>
      <c r="D616" t="s">
        <v>1558</v>
      </c>
      <c r="F616" t="str">
        <f t="shared" si="9"/>
        <v>Australia</v>
      </c>
    </row>
    <row r="617" spans="2:6" x14ac:dyDescent="0.35">
      <c r="B617" t="s">
        <v>1026</v>
      </c>
      <c r="C617" t="s">
        <v>1027</v>
      </c>
      <c r="D617" t="s">
        <v>1569</v>
      </c>
      <c r="F617" t="str">
        <f t="shared" si="9"/>
        <v>China</v>
      </c>
    </row>
    <row r="618" spans="2:6" x14ac:dyDescent="0.35">
      <c r="B618" t="s">
        <v>1026</v>
      </c>
      <c r="C618" t="s">
        <v>1028</v>
      </c>
      <c r="D618" t="e">
        <v>#N/A</v>
      </c>
      <c r="E618" t="s">
        <v>1545</v>
      </c>
      <c r="F618" t="str">
        <f t="shared" si="9"/>
        <v>CN</v>
      </c>
    </row>
    <row r="619" spans="2:6" x14ac:dyDescent="0.35">
      <c r="B619" t="s">
        <v>1029</v>
      </c>
      <c r="C619" t="s">
        <v>1030</v>
      </c>
      <c r="D619" t="s">
        <v>1558</v>
      </c>
      <c r="F619" t="str">
        <f t="shared" si="9"/>
        <v>Australia</v>
      </c>
    </row>
    <row r="620" spans="2:6" x14ac:dyDescent="0.35">
      <c r="B620" t="s">
        <v>1031</v>
      </c>
      <c r="C620" t="s">
        <v>1032</v>
      </c>
      <c r="D620" t="e">
        <v>#N/A</v>
      </c>
      <c r="E620" t="s">
        <v>18</v>
      </c>
      <c r="F620" t="str">
        <f t="shared" si="9"/>
        <v>AUD</v>
      </c>
    </row>
    <row r="621" spans="2:6" x14ac:dyDescent="0.35">
      <c r="B621" t="s">
        <v>1033</v>
      </c>
      <c r="C621" t="s">
        <v>1034</v>
      </c>
      <c r="D621" t="e">
        <v>#N/A</v>
      </c>
      <c r="E621" t="s">
        <v>18</v>
      </c>
      <c r="F621" t="str">
        <f t="shared" si="9"/>
        <v>AUD</v>
      </c>
    </row>
    <row r="622" spans="2:6" x14ac:dyDescent="0.35">
      <c r="B622" t="s">
        <v>1035</v>
      </c>
      <c r="C622" t="s">
        <v>1036</v>
      </c>
      <c r="D622" t="e">
        <v>#N/A</v>
      </c>
      <c r="E622" t="s">
        <v>54</v>
      </c>
      <c r="F622" t="str">
        <f t="shared" si="9"/>
        <v>HKD</v>
      </c>
    </row>
    <row r="623" spans="2:6" x14ac:dyDescent="0.35">
      <c r="B623" t="s">
        <v>1037</v>
      </c>
      <c r="C623">
        <v>6696157</v>
      </c>
      <c r="D623" t="s">
        <v>1571</v>
      </c>
      <c r="F623" t="str">
        <f t="shared" si="9"/>
        <v>Taiwan</v>
      </c>
    </row>
    <row r="624" spans="2:6" x14ac:dyDescent="0.35">
      <c r="B624" t="s">
        <v>1038</v>
      </c>
      <c r="C624">
        <v>2697701</v>
      </c>
      <c r="D624" t="s">
        <v>1567</v>
      </c>
      <c r="F624" t="str">
        <f t="shared" si="9"/>
        <v>Canada</v>
      </c>
    </row>
    <row r="625" spans="2:6" x14ac:dyDescent="0.35">
      <c r="B625" t="s">
        <v>1039</v>
      </c>
      <c r="C625" t="s">
        <v>1040</v>
      </c>
      <c r="D625" t="s">
        <v>1577</v>
      </c>
      <c r="F625" t="str">
        <f t="shared" si="9"/>
        <v>India</v>
      </c>
    </row>
    <row r="626" spans="2:6" x14ac:dyDescent="0.35">
      <c r="B626" t="s">
        <v>1041</v>
      </c>
      <c r="C626" t="s">
        <v>1042</v>
      </c>
      <c r="D626" t="s">
        <v>1577</v>
      </c>
      <c r="F626" t="str">
        <f t="shared" si="9"/>
        <v>India</v>
      </c>
    </row>
    <row r="627" spans="2:6" x14ac:dyDescent="0.35">
      <c r="B627" t="s">
        <v>1043</v>
      </c>
      <c r="C627">
        <v>2698470</v>
      </c>
      <c r="D627" t="s">
        <v>1561</v>
      </c>
      <c r="F627" t="str">
        <f t="shared" si="9"/>
        <v>United States</v>
      </c>
    </row>
    <row r="628" spans="2:6" x14ac:dyDescent="0.35">
      <c r="B628" t="s">
        <v>1044</v>
      </c>
      <c r="C628" t="s">
        <v>1045</v>
      </c>
      <c r="D628" t="e">
        <v>#N/A</v>
      </c>
      <c r="E628" t="s">
        <v>18</v>
      </c>
      <c r="F628" t="str">
        <f t="shared" si="9"/>
        <v>AUD</v>
      </c>
    </row>
    <row r="629" spans="2:6" x14ac:dyDescent="0.35">
      <c r="B629" t="s">
        <v>1046</v>
      </c>
      <c r="C629">
        <v>6699781</v>
      </c>
      <c r="D629" t="s">
        <v>1558</v>
      </c>
      <c r="F629" t="str">
        <f t="shared" si="9"/>
        <v>Australia</v>
      </c>
    </row>
    <row r="630" spans="2:6" x14ac:dyDescent="0.35">
      <c r="B630" t="s">
        <v>1047</v>
      </c>
      <c r="C630">
        <v>2803014</v>
      </c>
      <c r="D630" t="s">
        <v>1561</v>
      </c>
      <c r="F630" t="str">
        <f t="shared" si="9"/>
        <v>United States</v>
      </c>
    </row>
    <row r="631" spans="2:6" x14ac:dyDescent="0.35">
      <c r="B631" t="s">
        <v>1048</v>
      </c>
      <c r="C631">
        <v>6292782</v>
      </c>
      <c r="D631" t="s">
        <v>1558</v>
      </c>
      <c r="F631" t="str">
        <f t="shared" si="9"/>
        <v>Australia</v>
      </c>
    </row>
    <row r="632" spans="2:6" x14ac:dyDescent="0.35">
      <c r="B632" t="s">
        <v>1049</v>
      </c>
      <c r="C632">
        <v>2705024</v>
      </c>
      <c r="D632" t="s">
        <v>1561</v>
      </c>
      <c r="F632" t="str">
        <f t="shared" si="9"/>
        <v>United States</v>
      </c>
    </row>
    <row r="633" spans="2:6" x14ac:dyDescent="0.35">
      <c r="B633" t="s">
        <v>1050</v>
      </c>
      <c r="C633">
        <v>2393388</v>
      </c>
      <c r="D633" t="s">
        <v>1584</v>
      </c>
      <c r="F633" t="str">
        <f t="shared" si="9"/>
        <v>Mexico</v>
      </c>
    </row>
    <row r="634" spans="2:6" x14ac:dyDescent="0.35">
      <c r="B634" t="s">
        <v>1051</v>
      </c>
      <c r="C634">
        <v>2819118</v>
      </c>
      <c r="D634" t="s">
        <v>1561</v>
      </c>
      <c r="F634" t="str">
        <f t="shared" si="9"/>
        <v>United States</v>
      </c>
    </row>
    <row r="635" spans="2:6" x14ac:dyDescent="0.35">
      <c r="B635" t="s">
        <v>1052</v>
      </c>
      <c r="C635">
        <v>4380429</v>
      </c>
      <c r="D635" t="s">
        <v>1572</v>
      </c>
      <c r="F635" t="str">
        <f t="shared" si="9"/>
        <v>France</v>
      </c>
    </row>
    <row r="636" spans="2:6" x14ac:dyDescent="0.35">
      <c r="B636" t="s">
        <v>1053</v>
      </c>
      <c r="C636">
        <v>2708841</v>
      </c>
      <c r="D636" t="s">
        <v>1561</v>
      </c>
      <c r="F636" t="str">
        <f t="shared" si="9"/>
        <v>United States</v>
      </c>
    </row>
    <row r="637" spans="2:6" x14ac:dyDescent="0.35">
      <c r="B637" t="s">
        <v>1054</v>
      </c>
      <c r="C637">
        <v>6710347</v>
      </c>
      <c r="D637" t="s">
        <v>1558</v>
      </c>
      <c r="F637" t="str">
        <f t="shared" si="9"/>
        <v>Australia</v>
      </c>
    </row>
    <row r="638" spans="2:6" x14ac:dyDescent="0.35">
      <c r="B638" t="s">
        <v>1055</v>
      </c>
      <c r="C638">
        <v>6713982</v>
      </c>
      <c r="D638" t="e">
        <v>#N/A</v>
      </c>
      <c r="E638" t="s">
        <v>1539</v>
      </c>
      <c r="F638" t="str">
        <f t="shared" si="9"/>
        <v>QAR</v>
      </c>
    </row>
    <row r="639" spans="2:6" x14ac:dyDescent="0.35">
      <c r="B639" t="s">
        <v>1056</v>
      </c>
      <c r="C639">
        <v>6148197</v>
      </c>
      <c r="D639" t="e">
        <v>#N/A</v>
      </c>
      <c r="E639" t="s">
        <v>1539</v>
      </c>
      <c r="F639" t="str">
        <f t="shared" si="9"/>
        <v>QAR</v>
      </c>
    </row>
    <row r="640" spans="2:6" x14ac:dyDescent="0.35">
      <c r="B640" t="s">
        <v>1057</v>
      </c>
      <c r="C640">
        <v>6715740</v>
      </c>
      <c r="D640" t="s">
        <v>1558</v>
      </c>
      <c r="F640" t="str">
        <f t="shared" si="9"/>
        <v>Australia</v>
      </c>
    </row>
    <row r="641" spans="2:6" x14ac:dyDescent="0.35">
      <c r="B641" t="s">
        <v>1058</v>
      </c>
      <c r="C641" t="s">
        <v>1059</v>
      </c>
      <c r="D641" t="e">
        <v>#N/A</v>
      </c>
      <c r="E641" t="s">
        <v>21</v>
      </c>
      <c r="F641" t="str">
        <f t="shared" si="9"/>
        <v>USD</v>
      </c>
    </row>
    <row r="642" spans="2:6" x14ac:dyDescent="0.35">
      <c r="B642" t="s">
        <v>1060</v>
      </c>
      <c r="C642">
        <v>2714923</v>
      </c>
      <c r="D642" t="s">
        <v>1561</v>
      </c>
      <c r="F642" t="str">
        <f t="shared" si="9"/>
        <v>United States</v>
      </c>
    </row>
    <row r="643" spans="2:6" x14ac:dyDescent="0.35">
      <c r="B643" t="s">
        <v>1061</v>
      </c>
      <c r="C643" t="s">
        <v>1062</v>
      </c>
      <c r="D643" t="s">
        <v>1558</v>
      </c>
      <c r="F643" t="str">
        <f t="shared" ref="F643:F706" si="10">_xlfn.IFNA(D643,E643)</f>
        <v>Australia</v>
      </c>
    </row>
    <row r="644" spans="2:6" x14ac:dyDescent="0.35">
      <c r="B644" t="s">
        <v>1063</v>
      </c>
      <c r="C644">
        <v>2702791</v>
      </c>
      <c r="D644" t="s">
        <v>1561</v>
      </c>
      <c r="F644" t="str">
        <f t="shared" si="10"/>
        <v>United States</v>
      </c>
    </row>
    <row r="645" spans="2:6" x14ac:dyDescent="0.35">
      <c r="B645" t="s">
        <v>1064</v>
      </c>
      <c r="C645" t="s">
        <v>1065</v>
      </c>
      <c r="D645" t="e">
        <v>#N/A</v>
      </c>
      <c r="E645" t="s">
        <v>26</v>
      </c>
      <c r="F645" t="str">
        <f t="shared" si="10"/>
        <v>BRL</v>
      </c>
    </row>
    <row r="646" spans="2:6" x14ac:dyDescent="0.35">
      <c r="B646" t="s">
        <v>1066</v>
      </c>
      <c r="C646">
        <v>6586872</v>
      </c>
      <c r="D646" t="e">
        <v>#N/A</v>
      </c>
      <c r="E646" t="s">
        <v>18</v>
      </c>
      <c r="F646" t="str">
        <f t="shared" si="10"/>
        <v>AUD</v>
      </c>
    </row>
    <row r="647" spans="2:6" x14ac:dyDescent="0.35">
      <c r="B647" t="s">
        <v>1067</v>
      </c>
      <c r="C647">
        <v>6041995</v>
      </c>
      <c r="D647" t="s">
        <v>1558</v>
      </c>
      <c r="F647" t="str">
        <f t="shared" si="10"/>
        <v>Australia</v>
      </c>
    </row>
    <row r="648" spans="2:6" x14ac:dyDescent="0.35">
      <c r="B648" t="s">
        <v>1068</v>
      </c>
      <c r="C648">
        <v>6198578</v>
      </c>
      <c r="D648" t="s">
        <v>1558</v>
      </c>
      <c r="F648" t="str">
        <f t="shared" si="10"/>
        <v>Australia</v>
      </c>
    </row>
    <row r="649" spans="2:6" x14ac:dyDescent="0.35">
      <c r="B649" t="s">
        <v>1069</v>
      </c>
      <c r="C649">
        <v>6051422</v>
      </c>
      <c r="D649" t="e">
        <v>#N/A</v>
      </c>
      <c r="E649" t="s">
        <v>1535</v>
      </c>
      <c r="F649" t="str">
        <f t="shared" si="10"/>
        <v>TWD</v>
      </c>
    </row>
    <row r="650" spans="2:6" x14ac:dyDescent="0.35">
      <c r="B650" t="s">
        <v>1070</v>
      </c>
      <c r="C650" t="s">
        <v>1071</v>
      </c>
      <c r="D650" t="s">
        <v>1577</v>
      </c>
      <c r="F650" t="str">
        <f t="shared" si="10"/>
        <v>India</v>
      </c>
    </row>
    <row r="651" spans="2:6" x14ac:dyDescent="0.35">
      <c r="B651" t="s">
        <v>1072</v>
      </c>
      <c r="C651" t="s">
        <v>1073</v>
      </c>
      <c r="D651" t="s">
        <v>1563</v>
      </c>
      <c r="F651" t="str">
        <f t="shared" si="10"/>
        <v>Japan</v>
      </c>
    </row>
    <row r="652" spans="2:6" x14ac:dyDescent="0.35">
      <c r="B652" t="s">
        <v>1074</v>
      </c>
      <c r="C652" t="s">
        <v>1075</v>
      </c>
      <c r="D652" t="e">
        <v>#N/A</v>
      </c>
      <c r="E652" t="s">
        <v>18</v>
      </c>
      <c r="F652" t="str">
        <f t="shared" si="10"/>
        <v>AUD</v>
      </c>
    </row>
    <row r="653" spans="2:6" x14ac:dyDescent="0.35">
      <c r="B653" t="s">
        <v>1076</v>
      </c>
      <c r="C653">
        <v>6728801</v>
      </c>
      <c r="D653" t="s">
        <v>1558</v>
      </c>
      <c r="F653" t="str">
        <f t="shared" si="10"/>
        <v>Australia</v>
      </c>
    </row>
    <row r="654" spans="2:6" x14ac:dyDescent="0.35">
      <c r="B654" t="s">
        <v>1077</v>
      </c>
      <c r="C654" t="s">
        <v>1078</v>
      </c>
      <c r="D654" t="e">
        <v>#N/A</v>
      </c>
      <c r="E654" t="s">
        <v>18</v>
      </c>
      <c r="F654" t="str">
        <f t="shared" si="10"/>
        <v>AUD</v>
      </c>
    </row>
    <row r="655" spans="2:6" x14ac:dyDescent="0.35">
      <c r="B655" t="s">
        <v>1079</v>
      </c>
      <c r="C655">
        <v>6476542</v>
      </c>
      <c r="D655" t="e">
        <v>#N/A</v>
      </c>
      <c r="E655" t="s">
        <v>18</v>
      </c>
      <c r="F655" t="str">
        <f t="shared" si="10"/>
        <v>AUD</v>
      </c>
    </row>
    <row r="656" spans="2:6" x14ac:dyDescent="0.35">
      <c r="B656" t="s">
        <v>1080</v>
      </c>
      <c r="C656">
        <v>6099626</v>
      </c>
      <c r="D656" t="e">
        <v>#N/A</v>
      </c>
      <c r="E656" t="s">
        <v>34</v>
      </c>
      <c r="F656" t="str">
        <f t="shared" si="10"/>
        <v>INR</v>
      </c>
    </row>
    <row r="657" spans="2:6" x14ac:dyDescent="0.35">
      <c r="B657" t="s">
        <v>1081</v>
      </c>
      <c r="C657" t="s">
        <v>1082</v>
      </c>
      <c r="D657" t="s">
        <v>1558</v>
      </c>
      <c r="F657" t="str">
        <f t="shared" si="10"/>
        <v>Australia</v>
      </c>
    </row>
    <row r="658" spans="2:6" x14ac:dyDescent="0.35">
      <c r="B658" t="s">
        <v>1083</v>
      </c>
      <c r="C658" t="s">
        <v>1084</v>
      </c>
      <c r="D658" t="e">
        <v>#N/A</v>
      </c>
      <c r="E658" t="s">
        <v>18</v>
      </c>
      <c r="F658" t="str">
        <f t="shared" si="10"/>
        <v>AUD</v>
      </c>
    </row>
    <row r="659" spans="2:6" x14ac:dyDescent="0.35">
      <c r="B659" t="s">
        <v>1085</v>
      </c>
      <c r="C659">
        <v>6410636</v>
      </c>
      <c r="D659" t="e">
        <v>#N/A</v>
      </c>
      <c r="E659" t="s">
        <v>18</v>
      </c>
      <c r="F659" t="str">
        <f t="shared" si="10"/>
        <v>AUD</v>
      </c>
    </row>
    <row r="660" spans="2:6" x14ac:dyDescent="0.35">
      <c r="B660" t="s">
        <v>1086</v>
      </c>
      <c r="C660" t="s">
        <v>1087</v>
      </c>
      <c r="D660" t="s">
        <v>1572</v>
      </c>
      <c r="F660" t="str">
        <f t="shared" si="10"/>
        <v>France</v>
      </c>
    </row>
    <row r="661" spans="2:6" x14ac:dyDescent="0.35">
      <c r="B661" t="s">
        <v>1088</v>
      </c>
      <c r="C661">
        <v>6738929</v>
      </c>
      <c r="D661" t="e">
        <v>#N/A</v>
      </c>
      <c r="E661" t="s">
        <v>18</v>
      </c>
      <c r="F661" t="str">
        <f t="shared" si="10"/>
        <v>AUD</v>
      </c>
    </row>
    <row r="662" spans="2:6" x14ac:dyDescent="0.35">
      <c r="B662" t="s">
        <v>1089</v>
      </c>
      <c r="C662">
        <v>6220103</v>
      </c>
      <c r="D662" t="s">
        <v>1558</v>
      </c>
      <c r="F662" t="str">
        <f t="shared" si="10"/>
        <v>Australia</v>
      </c>
    </row>
    <row r="663" spans="2:6" x14ac:dyDescent="0.35">
      <c r="B663" t="s">
        <v>1090</v>
      </c>
      <c r="C663">
        <v>718875</v>
      </c>
      <c r="D663" t="s">
        <v>1559</v>
      </c>
      <c r="F663" t="str">
        <f t="shared" si="10"/>
        <v>United Kingdom</v>
      </c>
    </row>
    <row r="664" spans="2:6" x14ac:dyDescent="0.35">
      <c r="B664" t="s">
        <v>1091</v>
      </c>
      <c r="C664" t="s">
        <v>1092</v>
      </c>
      <c r="D664" t="s">
        <v>1561</v>
      </c>
      <c r="F664" t="str">
        <f t="shared" si="10"/>
        <v>United States</v>
      </c>
    </row>
    <row r="665" spans="2:6" x14ac:dyDescent="0.35">
      <c r="B665" t="s">
        <v>1093</v>
      </c>
      <c r="C665" t="s">
        <v>1094</v>
      </c>
      <c r="D665" t="s">
        <v>1561</v>
      </c>
      <c r="F665" t="str">
        <f t="shared" si="10"/>
        <v>United States</v>
      </c>
    </row>
    <row r="666" spans="2:6" x14ac:dyDescent="0.35">
      <c r="B666" t="s">
        <v>1095</v>
      </c>
      <c r="C666">
        <v>7110388</v>
      </c>
      <c r="D666" t="s">
        <v>1560</v>
      </c>
      <c r="F666" t="str">
        <f t="shared" si="10"/>
        <v>Switzerland</v>
      </c>
    </row>
    <row r="667" spans="2:6" x14ac:dyDescent="0.35">
      <c r="B667" t="s">
        <v>1096</v>
      </c>
      <c r="C667">
        <v>2746711</v>
      </c>
      <c r="D667" t="s">
        <v>1561</v>
      </c>
      <c r="F667" t="str">
        <f t="shared" si="10"/>
        <v>United States</v>
      </c>
    </row>
    <row r="668" spans="2:6" x14ac:dyDescent="0.35">
      <c r="B668" t="s">
        <v>1097</v>
      </c>
      <c r="C668">
        <v>2754383</v>
      </c>
      <c r="D668" t="s">
        <v>1567</v>
      </c>
      <c r="F668" t="str">
        <f t="shared" si="10"/>
        <v>Canada</v>
      </c>
    </row>
    <row r="669" spans="2:6" x14ac:dyDescent="0.35">
      <c r="B669" t="s">
        <v>1098</v>
      </c>
      <c r="C669">
        <v>2756174</v>
      </c>
      <c r="D669" t="s">
        <v>1561</v>
      </c>
      <c r="F669" t="str">
        <f t="shared" si="10"/>
        <v>United States</v>
      </c>
    </row>
    <row r="670" spans="2:6" x14ac:dyDescent="0.35">
      <c r="B670" t="s">
        <v>1099</v>
      </c>
      <c r="C670" t="s">
        <v>1100</v>
      </c>
      <c r="D670" t="s">
        <v>1561</v>
      </c>
      <c r="F670" t="str">
        <f t="shared" si="10"/>
        <v>United States</v>
      </c>
    </row>
    <row r="671" spans="2:6" x14ac:dyDescent="0.35">
      <c r="B671" t="s">
        <v>1101</v>
      </c>
      <c r="C671" t="s">
        <v>1102</v>
      </c>
      <c r="D671" t="s">
        <v>1561</v>
      </c>
      <c r="F671" t="str">
        <f t="shared" si="10"/>
        <v>United States</v>
      </c>
    </row>
    <row r="672" spans="2:6" x14ac:dyDescent="0.35">
      <c r="B672" t="s">
        <v>1103</v>
      </c>
      <c r="C672">
        <v>2310525</v>
      </c>
      <c r="D672" t="s">
        <v>1561</v>
      </c>
      <c r="F672" t="str">
        <f t="shared" si="10"/>
        <v>United States</v>
      </c>
    </row>
    <row r="673" spans="2:6" x14ac:dyDescent="0.35">
      <c r="B673" t="s">
        <v>1104</v>
      </c>
      <c r="C673" t="s">
        <v>1105</v>
      </c>
      <c r="D673" t="s">
        <v>1561</v>
      </c>
      <c r="F673" t="str">
        <f t="shared" si="10"/>
        <v>United States</v>
      </c>
    </row>
    <row r="674" spans="2:6" x14ac:dyDescent="0.35">
      <c r="B674" t="s">
        <v>1106</v>
      </c>
      <c r="C674" t="s">
        <v>1107</v>
      </c>
      <c r="D674" t="e">
        <v>#N/A</v>
      </c>
      <c r="E674" t="s">
        <v>1536</v>
      </c>
      <c r="F674" t="str">
        <f t="shared" si="10"/>
        <v>KRW</v>
      </c>
    </row>
    <row r="675" spans="2:6" x14ac:dyDescent="0.35">
      <c r="B675" t="s">
        <v>1108</v>
      </c>
      <c r="C675">
        <v>6771720</v>
      </c>
      <c r="D675" t="s">
        <v>1585</v>
      </c>
      <c r="F675" t="str">
        <f t="shared" si="10"/>
        <v>South Korea</v>
      </c>
    </row>
    <row r="676" spans="2:6" x14ac:dyDescent="0.35">
      <c r="B676" t="s">
        <v>1109</v>
      </c>
      <c r="C676">
        <v>6155250</v>
      </c>
      <c r="D676" t="s">
        <v>1585</v>
      </c>
      <c r="F676" t="str">
        <f t="shared" si="10"/>
        <v>South Korea</v>
      </c>
    </row>
    <row r="677" spans="2:6" x14ac:dyDescent="0.35">
      <c r="B677" t="s">
        <v>1110</v>
      </c>
      <c r="C677">
        <v>6771645</v>
      </c>
      <c r="D677" t="e">
        <v>#N/A</v>
      </c>
      <c r="E677" t="s">
        <v>1536</v>
      </c>
      <c r="F677" t="str">
        <f t="shared" si="10"/>
        <v>KRW</v>
      </c>
    </row>
    <row r="678" spans="2:6" x14ac:dyDescent="0.35">
      <c r="B678" t="s">
        <v>1111</v>
      </c>
      <c r="C678">
        <v>6739739</v>
      </c>
      <c r="D678" t="s">
        <v>1558</v>
      </c>
      <c r="F678" t="str">
        <f t="shared" si="10"/>
        <v>Australia</v>
      </c>
    </row>
    <row r="679" spans="2:6" x14ac:dyDescent="0.35">
      <c r="B679" t="s">
        <v>1112</v>
      </c>
      <c r="C679">
        <v>5671735</v>
      </c>
      <c r="D679" t="s">
        <v>1572</v>
      </c>
      <c r="F679" t="str">
        <f t="shared" si="10"/>
        <v>France</v>
      </c>
    </row>
    <row r="680" spans="2:6" x14ac:dyDescent="0.35">
      <c r="B680" t="s">
        <v>1113</v>
      </c>
      <c r="C680">
        <v>7153639</v>
      </c>
      <c r="D680" t="e">
        <v>#N/A</v>
      </c>
      <c r="E680" t="s">
        <v>38</v>
      </c>
      <c r="F680" t="str">
        <f t="shared" si="10"/>
        <v>PLN</v>
      </c>
    </row>
    <row r="681" spans="2:6" x14ac:dyDescent="0.35">
      <c r="B681" t="s">
        <v>1114</v>
      </c>
      <c r="C681" t="s">
        <v>1115</v>
      </c>
      <c r="D681" t="e">
        <v>#N/A</v>
      </c>
      <c r="E681" t="s">
        <v>18</v>
      </c>
      <c r="F681" t="str">
        <f t="shared" si="10"/>
        <v>AUD</v>
      </c>
    </row>
    <row r="682" spans="2:6" x14ac:dyDescent="0.35">
      <c r="B682" t="s">
        <v>1116</v>
      </c>
      <c r="C682">
        <v>4846288</v>
      </c>
      <c r="D682" t="s">
        <v>1570</v>
      </c>
      <c r="F682" t="str">
        <f t="shared" si="10"/>
        <v>Germany</v>
      </c>
    </row>
    <row r="683" spans="2:6" x14ac:dyDescent="0.35">
      <c r="B683" t="s">
        <v>1117</v>
      </c>
      <c r="C683" t="s">
        <v>1118</v>
      </c>
      <c r="D683" t="e">
        <v>#N/A</v>
      </c>
      <c r="E683" t="s">
        <v>58</v>
      </c>
      <c r="F683" t="str">
        <f t="shared" si="10"/>
        <v>SAR</v>
      </c>
    </row>
    <row r="684" spans="2:6" x14ac:dyDescent="0.35">
      <c r="B684" t="s">
        <v>1119</v>
      </c>
      <c r="C684" t="s">
        <v>1120</v>
      </c>
      <c r="D684" t="e">
        <v>#N/A</v>
      </c>
      <c r="E684" t="s">
        <v>58</v>
      </c>
      <c r="F684" t="str">
        <f t="shared" si="10"/>
        <v>SAR</v>
      </c>
    </row>
    <row r="685" spans="2:6" x14ac:dyDescent="0.35">
      <c r="B685" t="s">
        <v>1121</v>
      </c>
      <c r="C685" t="s">
        <v>1122</v>
      </c>
      <c r="D685" t="e">
        <v>#N/A</v>
      </c>
      <c r="E685" t="s">
        <v>1543</v>
      </c>
      <c r="F685" t="str">
        <f t="shared" si="10"/>
        <v>SA</v>
      </c>
    </row>
    <row r="686" spans="2:6" x14ac:dyDescent="0.35">
      <c r="B686" t="s">
        <v>1123</v>
      </c>
      <c r="C686" t="s">
        <v>1124</v>
      </c>
      <c r="D686" t="s">
        <v>1593</v>
      </c>
      <c r="F686" t="str">
        <f t="shared" si="10"/>
        <v>Thailand</v>
      </c>
    </row>
    <row r="687" spans="2:6" x14ac:dyDescent="0.35">
      <c r="B687" t="s">
        <v>1125</v>
      </c>
      <c r="C687">
        <v>2779201</v>
      </c>
      <c r="D687" t="s">
        <v>1561</v>
      </c>
      <c r="F687" t="str">
        <f t="shared" si="10"/>
        <v>United States</v>
      </c>
    </row>
    <row r="688" spans="2:6" x14ac:dyDescent="0.35">
      <c r="B688" t="s">
        <v>1126</v>
      </c>
      <c r="C688">
        <v>4834108</v>
      </c>
      <c r="D688" t="s">
        <v>1572</v>
      </c>
      <c r="F688" t="str">
        <f t="shared" si="10"/>
        <v>France</v>
      </c>
    </row>
    <row r="689" spans="2:6" x14ac:dyDescent="0.35">
      <c r="B689" t="s">
        <v>1127</v>
      </c>
      <c r="C689" t="s">
        <v>1128</v>
      </c>
      <c r="D689" t="s">
        <v>1587</v>
      </c>
      <c r="F689" t="str">
        <f t="shared" si="10"/>
        <v>Singapore</v>
      </c>
    </row>
    <row r="690" spans="2:6" x14ac:dyDescent="0.35">
      <c r="B690" t="s">
        <v>1129</v>
      </c>
      <c r="C690" t="s">
        <v>1130</v>
      </c>
      <c r="D690" t="s">
        <v>1565</v>
      </c>
      <c r="F690" t="str">
        <f t="shared" si="10"/>
        <v>Ireland</v>
      </c>
    </row>
    <row r="691" spans="2:6" x14ac:dyDescent="0.35">
      <c r="B691" t="s">
        <v>1131</v>
      </c>
      <c r="C691">
        <v>5554041</v>
      </c>
      <c r="D691" t="s">
        <v>1578</v>
      </c>
      <c r="F691" t="str">
        <f t="shared" si="10"/>
        <v>Sweden</v>
      </c>
    </row>
    <row r="692" spans="2:6" x14ac:dyDescent="0.35">
      <c r="B692" t="s">
        <v>1132</v>
      </c>
      <c r="C692" t="s">
        <v>1133</v>
      </c>
      <c r="D692" t="s">
        <v>1558</v>
      </c>
      <c r="F692" t="str">
        <f t="shared" si="10"/>
        <v>Australia</v>
      </c>
    </row>
    <row r="693" spans="2:6" x14ac:dyDescent="0.35">
      <c r="B693" t="s">
        <v>1134</v>
      </c>
      <c r="C693">
        <v>2793610</v>
      </c>
      <c r="D693" t="e">
        <v>#N/A</v>
      </c>
      <c r="E693" t="s">
        <v>21</v>
      </c>
      <c r="F693" t="str">
        <f t="shared" si="10"/>
        <v>USD</v>
      </c>
    </row>
    <row r="694" spans="2:6" x14ac:dyDescent="0.35">
      <c r="B694" t="s">
        <v>1135</v>
      </c>
      <c r="C694">
        <v>6260723</v>
      </c>
      <c r="D694" t="e">
        <v>#N/A</v>
      </c>
      <c r="E694" t="s">
        <v>18</v>
      </c>
      <c r="F694" t="str">
        <f t="shared" si="10"/>
        <v>AUD</v>
      </c>
    </row>
    <row r="695" spans="2:6" x14ac:dyDescent="0.35">
      <c r="B695" t="s">
        <v>1136</v>
      </c>
      <c r="C695" t="s">
        <v>1137</v>
      </c>
      <c r="D695" t="e">
        <v>#N/A</v>
      </c>
      <c r="E695" t="s">
        <v>18</v>
      </c>
      <c r="F695" t="str">
        <f t="shared" si="10"/>
        <v>AUD</v>
      </c>
    </row>
    <row r="696" spans="2:6" x14ac:dyDescent="0.35">
      <c r="B696" t="s">
        <v>1138</v>
      </c>
      <c r="C696" t="s">
        <v>1139</v>
      </c>
      <c r="D696" t="s">
        <v>1561</v>
      </c>
      <c r="F696" t="str">
        <f t="shared" si="10"/>
        <v>United States</v>
      </c>
    </row>
    <row r="697" spans="2:6" x14ac:dyDescent="0.35">
      <c r="B697" t="s">
        <v>1140</v>
      </c>
      <c r="C697">
        <v>6949431</v>
      </c>
      <c r="D697" t="e">
        <v>#N/A</v>
      </c>
      <c r="E697" t="s">
        <v>18</v>
      </c>
      <c r="F697" t="str">
        <f t="shared" si="10"/>
        <v>AUD</v>
      </c>
    </row>
    <row r="698" spans="2:6" x14ac:dyDescent="0.35">
      <c r="B698" t="s">
        <v>1141</v>
      </c>
      <c r="C698" t="s">
        <v>1142</v>
      </c>
      <c r="D698" t="e">
        <v>#N/A</v>
      </c>
      <c r="E698" t="s">
        <v>18</v>
      </c>
      <c r="F698" t="str">
        <f t="shared" si="10"/>
        <v>AUD</v>
      </c>
    </row>
    <row r="699" spans="2:6" x14ac:dyDescent="0.35">
      <c r="B699" t="s">
        <v>1143</v>
      </c>
      <c r="C699" t="s">
        <v>1144</v>
      </c>
      <c r="D699" t="s">
        <v>1558</v>
      </c>
      <c r="F699" t="str">
        <f t="shared" si="10"/>
        <v>Australia</v>
      </c>
    </row>
    <row r="700" spans="2:6" x14ac:dyDescent="0.35">
      <c r="B700" t="s">
        <v>1145</v>
      </c>
      <c r="C700" t="s">
        <v>1146</v>
      </c>
      <c r="D700" t="s">
        <v>1559</v>
      </c>
      <c r="F700" t="str">
        <f t="shared" si="10"/>
        <v>United Kingdom</v>
      </c>
    </row>
    <row r="701" spans="2:6" x14ac:dyDescent="0.35">
      <c r="B701" t="s">
        <v>1147</v>
      </c>
      <c r="C701">
        <v>2804211</v>
      </c>
      <c r="D701" t="s">
        <v>1561</v>
      </c>
      <c r="F701" t="str">
        <f t="shared" si="10"/>
        <v>United States</v>
      </c>
    </row>
    <row r="702" spans="2:6" x14ac:dyDescent="0.35">
      <c r="B702" t="s">
        <v>1148</v>
      </c>
      <c r="C702">
        <v>6397502</v>
      </c>
      <c r="D702" t="s">
        <v>1585</v>
      </c>
      <c r="F702" t="str">
        <f t="shared" si="10"/>
        <v>South Korea</v>
      </c>
    </row>
    <row r="703" spans="2:6" x14ac:dyDescent="0.35">
      <c r="B703" t="s">
        <v>1149</v>
      </c>
      <c r="C703" t="s">
        <v>1150</v>
      </c>
      <c r="D703" t="s">
        <v>1567</v>
      </c>
      <c r="F703" t="str">
        <f t="shared" si="10"/>
        <v>Canada</v>
      </c>
    </row>
    <row r="704" spans="2:6" x14ac:dyDescent="0.35">
      <c r="B704" t="s">
        <v>1149</v>
      </c>
      <c r="C704" t="s">
        <v>1151</v>
      </c>
      <c r="D704" t="s">
        <v>1567</v>
      </c>
      <c r="F704" t="str">
        <f t="shared" si="10"/>
        <v>Canada</v>
      </c>
    </row>
    <row r="705" spans="2:6" x14ac:dyDescent="0.35">
      <c r="B705" t="s">
        <v>1152</v>
      </c>
      <c r="C705">
        <v>5727973</v>
      </c>
      <c r="D705" t="s">
        <v>1570</v>
      </c>
      <c r="F705" t="str">
        <f t="shared" si="10"/>
        <v>Germany</v>
      </c>
    </row>
    <row r="706" spans="2:6" x14ac:dyDescent="0.35">
      <c r="B706" t="s">
        <v>1153</v>
      </c>
      <c r="C706" t="s">
        <v>1154</v>
      </c>
      <c r="D706" t="e">
        <v>#N/A</v>
      </c>
      <c r="E706" t="s">
        <v>18</v>
      </c>
      <c r="F706" t="str">
        <f t="shared" si="10"/>
        <v>AUD</v>
      </c>
    </row>
    <row r="707" spans="2:6" x14ac:dyDescent="0.35">
      <c r="B707" t="s">
        <v>1155</v>
      </c>
      <c r="C707">
        <v>6043214</v>
      </c>
      <c r="D707" t="s">
        <v>1587</v>
      </c>
      <c r="F707" t="str">
        <f t="shared" ref="F707:F770" si="11">_xlfn.IFNA(D707,E707)</f>
        <v>Singapore</v>
      </c>
    </row>
    <row r="708" spans="2:6" x14ac:dyDescent="0.35">
      <c r="B708" t="s">
        <v>1156</v>
      </c>
      <c r="C708" t="s">
        <v>1157</v>
      </c>
      <c r="D708" t="e">
        <v>#N/A</v>
      </c>
      <c r="E708" t="s">
        <v>54</v>
      </c>
      <c r="F708" t="str">
        <f t="shared" si="11"/>
        <v>HKD</v>
      </c>
    </row>
    <row r="709" spans="2:6" x14ac:dyDescent="0.35">
      <c r="B709" t="s">
        <v>1158</v>
      </c>
      <c r="C709" t="s">
        <v>1159</v>
      </c>
      <c r="D709" t="s">
        <v>1569</v>
      </c>
      <c r="F709" t="str">
        <f t="shared" si="11"/>
        <v>China</v>
      </c>
    </row>
    <row r="710" spans="2:6" x14ac:dyDescent="0.35">
      <c r="B710" t="s">
        <v>1160</v>
      </c>
      <c r="C710">
        <v>6450267</v>
      </c>
      <c r="D710" t="s">
        <v>1585</v>
      </c>
      <c r="F710" t="str">
        <f t="shared" si="11"/>
        <v>South Korea</v>
      </c>
    </row>
    <row r="711" spans="2:6" x14ac:dyDescent="0.35">
      <c r="B711" t="s">
        <v>1161</v>
      </c>
      <c r="C711" t="s">
        <v>1162</v>
      </c>
      <c r="D711" t="s">
        <v>1585</v>
      </c>
      <c r="F711" t="str">
        <f t="shared" si="11"/>
        <v>South Korea</v>
      </c>
    </row>
    <row r="712" spans="2:6" x14ac:dyDescent="0.35">
      <c r="B712" t="s">
        <v>1163</v>
      </c>
      <c r="C712">
        <v>6224871</v>
      </c>
      <c r="D712" t="s">
        <v>1585</v>
      </c>
      <c r="F712" t="str">
        <f t="shared" si="11"/>
        <v>South Korea</v>
      </c>
    </row>
    <row r="713" spans="2:6" x14ac:dyDescent="0.35">
      <c r="B713" t="s">
        <v>1164</v>
      </c>
      <c r="C713">
        <v>7142091</v>
      </c>
      <c r="D713" t="s">
        <v>1578</v>
      </c>
      <c r="F713" t="str">
        <f t="shared" si="11"/>
        <v>Sweden</v>
      </c>
    </row>
    <row r="714" spans="2:6" x14ac:dyDescent="0.35">
      <c r="B714" t="s">
        <v>1165</v>
      </c>
      <c r="C714" t="s">
        <v>1166</v>
      </c>
      <c r="D714" t="e">
        <v>#N/A</v>
      </c>
      <c r="E714" t="s">
        <v>57</v>
      </c>
      <c r="F714" t="str">
        <f t="shared" si="11"/>
        <v>NZD</v>
      </c>
    </row>
    <row r="715" spans="2:6" x14ac:dyDescent="0.35">
      <c r="B715" t="s">
        <v>1167</v>
      </c>
      <c r="C715">
        <v>2961053</v>
      </c>
      <c r="D715" t="s">
        <v>1561</v>
      </c>
      <c r="F715" t="str">
        <f t="shared" si="11"/>
        <v>United States</v>
      </c>
    </row>
    <row r="716" spans="2:6" x14ac:dyDescent="0.35">
      <c r="B716" t="s">
        <v>1168</v>
      </c>
      <c r="C716" t="s">
        <v>1169</v>
      </c>
      <c r="D716" t="e">
        <v>#N/A</v>
      </c>
      <c r="E716" t="s">
        <v>18</v>
      </c>
      <c r="F716" t="str">
        <f t="shared" si="11"/>
        <v>AUD</v>
      </c>
    </row>
    <row r="717" spans="2:6" x14ac:dyDescent="0.35">
      <c r="B717" t="s">
        <v>1170</v>
      </c>
      <c r="C717">
        <v>2818740</v>
      </c>
      <c r="D717" t="s">
        <v>1561</v>
      </c>
      <c r="F717" t="str">
        <f t="shared" si="11"/>
        <v>United States</v>
      </c>
    </row>
    <row r="718" spans="2:6" x14ac:dyDescent="0.35">
      <c r="B718" t="s">
        <v>1171</v>
      </c>
      <c r="C718" t="s">
        <v>1172</v>
      </c>
      <c r="D718" t="s">
        <v>1563</v>
      </c>
      <c r="F718" t="str">
        <f t="shared" si="11"/>
        <v>Japan</v>
      </c>
    </row>
    <row r="719" spans="2:6" x14ac:dyDescent="0.35">
      <c r="B719" t="s">
        <v>1173</v>
      </c>
      <c r="C719" t="s">
        <v>1174</v>
      </c>
      <c r="D719" t="e">
        <v>#N/A</v>
      </c>
      <c r="E719" t="s">
        <v>18</v>
      </c>
      <c r="F719" t="str">
        <f t="shared" si="11"/>
        <v>AUD</v>
      </c>
    </row>
    <row r="720" spans="2:6" x14ac:dyDescent="0.35">
      <c r="B720" t="s">
        <v>1175</v>
      </c>
      <c r="C720">
        <v>6821120</v>
      </c>
      <c r="D720" t="s">
        <v>1558</v>
      </c>
      <c r="F720" t="str">
        <f t="shared" si="11"/>
        <v>Australia</v>
      </c>
    </row>
    <row r="721" spans="2:6" x14ac:dyDescent="0.35">
      <c r="B721" t="s">
        <v>1176</v>
      </c>
      <c r="C721">
        <v>7156036</v>
      </c>
      <c r="D721" t="s">
        <v>1560</v>
      </c>
      <c r="F721" t="str">
        <f t="shared" si="11"/>
        <v>Switzerland</v>
      </c>
    </row>
    <row r="722" spans="2:6" x14ac:dyDescent="0.35">
      <c r="B722" t="s">
        <v>1177</v>
      </c>
      <c r="C722" t="s">
        <v>1178</v>
      </c>
      <c r="D722" t="e">
        <v>#N/A</v>
      </c>
      <c r="E722" t="s">
        <v>18</v>
      </c>
      <c r="F722" t="str">
        <f t="shared" si="11"/>
        <v>AUD</v>
      </c>
    </row>
    <row r="723" spans="2:6" x14ac:dyDescent="0.35">
      <c r="B723" t="s">
        <v>1179</v>
      </c>
      <c r="C723" t="s">
        <v>1180</v>
      </c>
      <c r="D723" t="e">
        <v>#N/A</v>
      </c>
      <c r="E723" t="s">
        <v>1549</v>
      </c>
      <c r="F723" t="str">
        <f t="shared" si="11"/>
        <v>AU</v>
      </c>
    </row>
    <row r="724" spans="2:6" x14ac:dyDescent="0.35">
      <c r="B724" t="s">
        <v>1181</v>
      </c>
      <c r="C724" t="s">
        <v>1182</v>
      </c>
      <c r="D724" t="e">
        <v>#N/A</v>
      </c>
      <c r="E724" t="s">
        <v>18</v>
      </c>
      <c r="F724" t="str">
        <f t="shared" si="11"/>
        <v>AUD</v>
      </c>
    </row>
    <row r="725" spans="2:6" x14ac:dyDescent="0.35">
      <c r="B725" t="s">
        <v>1183</v>
      </c>
      <c r="C725" t="s">
        <v>1184</v>
      </c>
      <c r="D725" t="s">
        <v>1592</v>
      </c>
      <c r="F725" t="str">
        <f t="shared" si="11"/>
        <v>Luxembourg</v>
      </c>
    </row>
    <row r="726" spans="2:6" x14ac:dyDescent="0.35">
      <c r="B726" t="s">
        <v>1185</v>
      </c>
      <c r="C726" t="s">
        <v>1186</v>
      </c>
      <c r="D726" t="e">
        <v>#N/A</v>
      </c>
      <c r="E726" t="s">
        <v>18</v>
      </c>
      <c r="F726" t="str">
        <f t="shared" si="11"/>
        <v>AUD</v>
      </c>
    </row>
    <row r="727" spans="2:6" x14ac:dyDescent="0.35">
      <c r="B727" t="s">
        <v>1187</v>
      </c>
      <c r="C727" t="s">
        <v>1188</v>
      </c>
      <c r="D727" t="s">
        <v>1561</v>
      </c>
      <c r="F727" t="str">
        <f t="shared" si="11"/>
        <v>United States</v>
      </c>
    </row>
    <row r="728" spans="2:6" x14ac:dyDescent="0.35">
      <c r="B728" t="s">
        <v>1189</v>
      </c>
      <c r="C728" t="s">
        <v>1190</v>
      </c>
      <c r="D728" t="s">
        <v>1594</v>
      </c>
      <c r="F728" t="str">
        <f t="shared" si="11"/>
        <v>South Africa</v>
      </c>
    </row>
    <row r="729" spans="2:6" x14ac:dyDescent="0.35">
      <c r="B729" t="s">
        <v>1191</v>
      </c>
      <c r="C729" t="s">
        <v>1192</v>
      </c>
      <c r="D729" t="e">
        <v>#N/A</v>
      </c>
      <c r="E729" t="s">
        <v>18</v>
      </c>
      <c r="F729" t="str">
        <f t="shared" si="11"/>
        <v>AUD</v>
      </c>
    </row>
    <row r="730" spans="2:6" x14ac:dyDescent="0.35">
      <c r="B730" t="s">
        <v>1193</v>
      </c>
      <c r="C730" t="s">
        <v>1194</v>
      </c>
      <c r="D730" t="e">
        <v>#N/A</v>
      </c>
      <c r="E730" t="s">
        <v>18</v>
      </c>
      <c r="F730" t="str">
        <f t="shared" si="11"/>
        <v>AUD</v>
      </c>
    </row>
    <row r="731" spans="2:6" x14ac:dyDescent="0.35">
      <c r="B731" t="s">
        <v>1195</v>
      </c>
      <c r="C731" t="s">
        <v>1196</v>
      </c>
      <c r="D731" t="s">
        <v>1577</v>
      </c>
      <c r="F731" t="str">
        <f t="shared" si="11"/>
        <v>India</v>
      </c>
    </row>
    <row r="732" spans="2:6" x14ac:dyDescent="0.35">
      <c r="B732" t="s">
        <v>1197</v>
      </c>
      <c r="C732" t="s">
        <v>1198</v>
      </c>
      <c r="D732" t="s">
        <v>1558</v>
      </c>
      <c r="F732" t="str">
        <f t="shared" si="11"/>
        <v>Australia</v>
      </c>
    </row>
    <row r="733" spans="2:6" x14ac:dyDescent="0.35">
      <c r="B733" t="s">
        <v>1199</v>
      </c>
      <c r="C733">
        <v>2853688</v>
      </c>
      <c r="D733" t="s">
        <v>1561</v>
      </c>
      <c r="F733" t="str">
        <f t="shared" si="11"/>
        <v>United States</v>
      </c>
    </row>
    <row r="734" spans="2:6" x14ac:dyDescent="0.35">
      <c r="B734" t="s">
        <v>1200</v>
      </c>
      <c r="C734">
        <v>6356406</v>
      </c>
      <c r="D734" t="s">
        <v>1563</v>
      </c>
      <c r="F734" t="str">
        <f t="shared" si="11"/>
        <v>Japan</v>
      </c>
    </row>
    <row r="735" spans="2:6" x14ac:dyDescent="0.35">
      <c r="B735" t="s">
        <v>1201</v>
      </c>
      <c r="C735">
        <v>6858708</v>
      </c>
      <c r="D735" t="s">
        <v>1563</v>
      </c>
      <c r="F735" t="str">
        <f t="shared" si="11"/>
        <v>Japan</v>
      </c>
    </row>
    <row r="736" spans="2:6" x14ac:dyDescent="0.35">
      <c r="B736" t="s">
        <v>1202</v>
      </c>
      <c r="C736">
        <v>6563024</v>
      </c>
      <c r="D736" t="s">
        <v>1563</v>
      </c>
      <c r="F736" t="str">
        <f t="shared" si="11"/>
        <v>Japan</v>
      </c>
    </row>
    <row r="737" spans="2:6" x14ac:dyDescent="0.35">
      <c r="B737" t="s">
        <v>1203</v>
      </c>
      <c r="C737">
        <v>6859927</v>
      </c>
      <c r="D737" t="s">
        <v>1568</v>
      </c>
      <c r="F737" t="str">
        <f t="shared" si="11"/>
        <v>Hong Kong</v>
      </c>
    </row>
    <row r="738" spans="2:6" x14ac:dyDescent="0.35">
      <c r="B738" t="s">
        <v>1204</v>
      </c>
      <c r="C738">
        <v>6582483</v>
      </c>
      <c r="D738" t="s">
        <v>1577</v>
      </c>
      <c r="F738" t="str">
        <f t="shared" si="11"/>
        <v>India</v>
      </c>
    </row>
    <row r="739" spans="2:6" x14ac:dyDescent="0.35">
      <c r="B739" t="s">
        <v>1205</v>
      </c>
      <c r="C739" t="s">
        <v>1206</v>
      </c>
      <c r="D739" t="s">
        <v>1567</v>
      </c>
      <c r="F739" t="str">
        <f t="shared" si="11"/>
        <v>Canada</v>
      </c>
    </row>
    <row r="740" spans="2:6" x14ac:dyDescent="0.35">
      <c r="B740" t="s">
        <v>1207</v>
      </c>
      <c r="C740">
        <v>6585084</v>
      </c>
      <c r="D740" t="s">
        <v>1558</v>
      </c>
      <c r="F740" t="str">
        <f t="shared" si="11"/>
        <v>Australia</v>
      </c>
    </row>
    <row r="741" spans="2:6" x14ac:dyDescent="0.35">
      <c r="B741" t="s">
        <v>1208</v>
      </c>
      <c r="C741" t="s">
        <v>1209</v>
      </c>
      <c r="D741" t="e">
        <v>#N/A</v>
      </c>
      <c r="E741" t="s">
        <v>18</v>
      </c>
      <c r="F741" t="str">
        <f t="shared" si="11"/>
        <v>AUD</v>
      </c>
    </row>
    <row r="742" spans="2:6" x14ac:dyDescent="0.35">
      <c r="B742" t="s">
        <v>1210</v>
      </c>
      <c r="C742">
        <v>6580993</v>
      </c>
      <c r="D742" t="e">
        <v>#N/A</v>
      </c>
      <c r="E742" t="s">
        <v>18</v>
      </c>
      <c r="F742" t="str">
        <f t="shared" si="11"/>
        <v>AUD</v>
      </c>
    </row>
    <row r="743" spans="2:6" x14ac:dyDescent="0.35">
      <c r="B743" t="s">
        <v>1211</v>
      </c>
      <c r="C743">
        <v>6865504</v>
      </c>
      <c r="D743" t="s">
        <v>1563</v>
      </c>
      <c r="F743" t="str">
        <f t="shared" si="11"/>
        <v>Japan</v>
      </c>
    </row>
    <row r="744" spans="2:6" x14ac:dyDescent="0.35">
      <c r="B744" t="s">
        <v>1212</v>
      </c>
      <c r="C744">
        <v>6867748</v>
      </c>
      <c r="D744" t="s">
        <v>1568</v>
      </c>
      <c r="F744" t="str">
        <f t="shared" si="11"/>
        <v>Hong Kong</v>
      </c>
    </row>
    <row r="745" spans="2:6" x14ac:dyDescent="0.35">
      <c r="B745" t="s">
        <v>1213</v>
      </c>
      <c r="C745" t="s">
        <v>1214</v>
      </c>
      <c r="D745" t="s">
        <v>1561</v>
      </c>
      <c r="F745" t="str">
        <f t="shared" si="11"/>
        <v>United States</v>
      </c>
    </row>
    <row r="746" spans="2:6" x14ac:dyDescent="0.35">
      <c r="B746" t="s">
        <v>1215</v>
      </c>
      <c r="C746">
        <v>2867719</v>
      </c>
      <c r="D746" t="s">
        <v>1561</v>
      </c>
      <c r="F746" t="str">
        <f t="shared" si="11"/>
        <v>United States</v>
      </c>
    </row>
    <row r="747" spans="2:6" x14ac:dyDescent="0.35">
      <c r="B747" t="s">
        <v>1216</v>
      </c>
      <c r="C747">
        <v>2702337</v>
      </c>
      <c r="D747" t="s">
        <v>1561</v>
      </c>
      <c r="F747" t="str">
        <f t="shared" si="11"/>
        <v>United States</v>
      </c>
    </row>
    <row r="748" spans="2:6" x14ac:dyDescent="0.35">
      <c r="B748" t="s">
        <v>1217</v>
      </c>
      <c r="C748">
        <v>6873262</v>
      </c>
      <c r="D748" t="s">
        <v>1558</v>
      </c>
      <c r="F748" t="str">
        <f t="shared" si="11"/>
        <v>Australia</v>
      </c>
    </row>
    <row r="749" spans="2:6" x14ac:dyDescent="0.35">
      <c r="B749" t="s">
        <v>1218</v>
      </c>
      <c r="C749">
        <v>5735631</v>
      </c>
      <c r="D749" t="e">
        <v>#N/A</v>
      </c>
      <c r="E749" t="s">
        <v>31</v>
      </c>
      <c r="F749" t="str">
        <f t="shared" si="11"/>
        <v>EUR</v>
      </c>
    </row>
    <row r="750" spans="2:6" x14ac:dyDescent="0.35">
      <c r="B750" t="s">
        <v>1219</v>
      </c>
      <c r="C750">
        <v>2113382</v>
      </c>
      <c r="D750" t="s">
        <v>1571</v>
      </c>
      <c r="F750" t="str">
        <f t="shared" si="11"/>
        <v>Taiwan</v>
      </c>
    </row>
    <row r="751" spans="2:6" x14ac:dyDescent="0.35">
      <c r="B751" t="s">
        <v>1220</v>
      </c>
      <c r="C751">
        <v>6889106</v>
      </c>
      <c r="D751" t="s">
        <v>1571</v>
      </c>
      <c r="F751" t="str">
        <f t="shared" si="11"/>
        <v>Taiwan</v>
      </c>
    </row>
    <row r="752" spans="2:6" x14ac:dyDescent="0.35">
      <c r="B752" t="s">
        <v>1221</v>
      </c>
      <c r="C752" t="s">
        <v>1222</v>
      </c>
      <c r="D752" t="s">
        <v>1561</v>
      </c>
      <c r="F752" t="str">
        <f t="shared" si="11"/>
        <v>United States</v>
      </c>
    </row>
    <row r="753" spans="2:6" x14ac:dyDescent="0.35">
      <c r="B753" t="s">
        <v>1223</v>
      </c>
      <c r="C753" t="s">
        <v>1224</v>
      </c>
      <c r="D753" t="e">
        <v>#N/A</v>
      </c>
      <c r="E753" t="s">
        <v>34</v>
      </c>
      <c r="F753" t="str">
        <f t="shared" si="11"/>
        <v>INR</v>
      </c>
    </row>
    <row r="754" spans="2:6" x14ac:dyDescent="0.35">
      <c r="B754" t="s">
        <v>1225</v>
      </c>
      <c r="C754" t="s">
        <v>1226</v>
      </c>
      <c r="D754" t="s">
        <v>1561</v>
      </c>
      <c r="F754" t="str">
        <f t="shared" si="11"/>
        <v>United States</v>
      </c>
    </row>
    <row r="755" spans="2:6" x14ac:dyDescent="0.35">
      <c r="B755" t="s">
        <v>1227</v>
      </c>
      <c r="C755" t="s">
        <v>1228</v>
      </c>
      <c r="D755" t="e">
        <v>#N/A</v>
      </c>
      <c r="E755" t="s">
        <v>34</v>
      </c>
      <c r="F755" t="str">
        <f t="shared" si="11"/>
        <v>INR</v>
      </c>
    </row>
    <row r="756" spans="2:6" x14ac:dyDescent="0.35">
      <c r="B756" t="s">
        <v>1229</v>
      </c>
      <c r="C756">
        <v>6302410</v>
      </c>
      <c r="D756" t="s">
        <v>1558</v>
      </c>
      <c r="F756" t="str">
        <f t="shared" si="11"/>
        <v>Australia</v>
      </c>
    </row>
    <row r="757" spans="2:6" x14ac:dyDescent="0.35">
      <c r="B757" t="s">
        <v>1230</v>
      </c>
      <c r="C757" t="s">
        <v>1231</v>
      </c>
      <c r="D757" t="s">
        <v>1578</v>
      </c>
      <c r="F757" t="str">
        <f t="shared" si="11"/>
        <v>Sweden</v>
      </c>
    </row>
    <row r="758" spans="2:6" x14ac:dyDescent="0.35">
      <c r="B758" t="s">
        <v>1232</v>
      </c>
      <c r="C758">
        <v>2881407</v>
      </c>
      <c r="D758" t="e">
        <v>#N/A</v>
      </c>
      <c r="E758" t="s">
        <v>21</v>
      </c>
      <c r="F758" t="str">
        <f t="shared" si="11"/>
        <v>USD</v>
      </c>
    </row>
    <row r="759" spans="2:6" x14ac:dyDescent="0.35">
      <c r="B759" t="s">
        <v>1233</v>
      </c>
      <c r="C759">
        <v>5959378</v>
      </c>
      <c r="D759" t="s">
        <v>1578</v>
      </c>
      <c r="F759" t="str">
        <f t="shared" si="11"/>
        <v>Sweden</v>
      </c>
    </row>
    <row r="760" spans="2:6" x14ac:dyDescent="0.35">
      <c r="B760" t="s">
        <v>1234</v>
      </c>
      <c r="C760" t="s">
        <v>1235</v>
      </c>
      <c r="D760" t="s">
        <v>1582</v>
      </c>
      <c r="F760" t="str">
        <f t="shared" si="11"/>
        <v>Brazil</v>
      </c>
    </row>
    <row r="761" spans="2:6" x14ac:dyDescent="0.35">
      <c r="B761" t="s">
        <v>1236</v>
      </c>
      <c r="C761" t="s">
        <v>1237</v>
      </c>
      <c r="D761" t="s">
        <v>1558</v>
      </c>
      <c r="F761" t="str">
        <f t="shared" si="11"/>
        <v>Australia</v>
      </c>
    </row>
    <row r="762" spans="2:6" x14ac:dyDescent="0.35">
      <c r="B762" t="s">
        <v>1238</v>
      </c>
      <c r="C762">
        <v>6087289</v>
      </c>
      <c r="D762" t="s">
        <v>1558</v>
      </c>
      <c r="F762" t="str">
        <f t="shared" si="11"/>
        <v>Australia</v>
      </c>
    </row>
    <row r="763" spans="2:6" x14ac:dyDescent="0.35">
      <c r="B763" t="s">
        <v>1239</v>
      </c>
      <c r="C763" t="s">
        <v>1240</v>
      </c>
      <c r="D763" t="s">
        <v>1558</v>
      </c>
      <c r="F763" t="str">
        <f t="shared" si="11"/>
        <v>Australia</v>
      </c>
    </row>
    <row r="764" spans="2:6" x14ac:dyDescent="0.35">
      <c r="B764" t="s">
        <v>1241</v>
      </c>
      <c r="C764" t="s">
        <v>1242</v>
      </c>
      <c r="D764" t="s">
        <v>1569</v>
      </c>
      <c r="F764" t="str">
        <f t="shared" si="11"/>
        <v>China</v>
      </c>
    </row>
    <row r="765" spans="2:6" x14ac:dyDescent="0.35">
      <c r="B765" t="s">
        <v>1243</v>
      </c>
      <c r="C765" t="s">
        <v>1244</v>
      </c>
      <c r="D765" t="s">
        <v>1569</v>
      </c>
      <c r="F765" t="str">
        <f t="shared" si="11"/>
        <v>China</v>
      </c>
    </row>
    <row r="766" spans="2:6" x14ac:dyDescent="0.35">
      <c r="B766" t="s">
        <v>1245</v>
      </c>
      <c r="C766">
        <v>2884183</v>
      </c>
      <c r="D766" t="s">
        <v>1561</v>
      </c>
      <c r="F766" t="str">
        <f t="shared" si="11"/>
        <v>United States</v>
      </c>
    </row>
    <row r="767" spans="2:6" x14ac:dyDescent="0.35">
      <c r="B767" t="s">
        <v>1246</v>
      </c>
      <c r="C767" t="s">
        <v>1247</v>
      </c>
      <c r="D767" t="e">
        <v>#N/A</v>
      </c>
      <c r="E767" t="s">
        <v>18</v>
      </c>
      <c r="F767" t="str">
        <f t="shared" si="11"/>
        <v>AUD</v>
      </c>
    </row>
    <row r="768" spans="2:6" x14ac:dyDescent="0.35">
      <c r="B768" t="s">
        <v>1248</v>
      </c>
      <c r="C768" t="s">
        <v>1249</v>
      </c>
      <c r="D768" t="s">
        <v>1559</v>
      </c>
      <c r="F768" t="str">
        <f t="shared" si="11"/>
        <v>United Kingdom</v>
      </c>
    </row>
    <row r="769" spans="2:6" x14ac:dyDescent="0.35">
      <c r="B769" t="s">
        <v>1250</v>
      </c>
      <c r="C769" t="s">
        <v>1251</v>
      </c>
      <c r="D769" t="s">
        <v>1561</v>
      </c>
      <c r="F769" t="str">
        <f t="shared" si="11"/>
        <v>United States</v>
      </c>
    </row>
    <row r="770" spans="2:6" x14ac:dyDescent="0.35">
      <c r="B770" t="s">
        <v>1252</v>
      </c>
      <c r="C770">
        <v>2883878</v>
      </c>
      <c r="D770" t="s">
        <v>1574</v>
      </c>
      <c r="F770" t="str">
        <f t="shared" si="11"/>
        <v>Israel</v>
      </c>
    </row>
    <row r="771" spans="2:6" x14ac:dyDescent="0.35">
      <c r="B771" t="s">
        <v>1253</v>
      </c>
      <c r="C771">
        <v>2885409</v>
      </c>
      <c r="D771" t="s">
        <v>1561</v>
      </c>
      <c r="F771" t="str">
        <f t="shared" ref="F771:F834" si="12">_xlfn.IFNA(D771,E771)</f>
        <v>United States</v>
      </c>
    </row>
    <row r="772" spans="2:6" x14ac:dyDescent="0.35">
      <c r="B772" t="s">
        <v>1254</v>
      </c>
      <c r="C772" t="s">
        <v>1255</v>
      </c>
      <c r="D772" t="s">
        <v>1561</v>
      </c>
      <c r="F772" t="str">
        <f t="shared" si="12"/>
        <v>United States</v>
      </c>
    </row>
    <row r="773" spans="2:6" x14ac:dyDescent="0.35">
      <c r="B773" t="s">
        <v>1256</v>
      </c>
      <c r="C773">
        <v>2885937</v>
      </c>
      <c r="D773" t="s">
        <v>1561</v>
      </c>
      <c r="F773" t="str">
        <f t="shared" si="12"/>
        <v>United States</v>
      </c>
    </row>
    <row r="774" spans="2:6" x14ac:dyDescent="0.35">
      <c r="B774" t="s">
        <v>1257</v>
      </c>
      <c r="C774" t="s">
        <v>1258</v>
      </c>
      <c r="D774" t="s">
        <v>1567</v>
      </c>
      <c r="F774" t="str">
        <f t="shared" si="12"/>
        <v>Canada</v>
      </c>
    </row>
    <row r="775" spans="2:6" x14ac:dyDescent="0.35">
      <c r="B775" t="s">
        <v>1259</v>
      </c>
      <c r="C775">
        <v>4162791</v>
      </c>
      <c r="D775" t="s">
        <v>1572</v>
      </c>
      <c r="F775" t="str">
        <f t="shared" si="12"/>
        <v>France</v>
      </c>
    </row>
    <row r="776" spans="2:6" x14ac:dyDescent="0.35">
      <c r="B776" t="s">
        <v>1260</v>
      </c>
      <c r="C776">
        <v>2704407</v>
      </c>
      <c r="D776" t="s">
        <v>1561</v>
      </c>
      <c r="F776" t="str">
        <f t="shared" si="12"/>
        <v>United States</v>
      </c>
    </row>
    <row r="777" spans="2:6" x14ac:dyDescent="0.35">
      <c r="B777" t="s">
        <v>1261</v>
      </c>
      <c r="C777">
        <v>2270726</v>
      </c>
      <c r="D777" t="s">
        <v>1561</v>
      </c>
      <c r="F777" t="str">
        <f t="shared" si="12"/>
        <v>United States</v>
      </c>
    </row>
    <row r="778" spans="2:6" x14ac:dyDescent="0.35">
      <c r="B778" t="s">
        <v>1262</v>
      </c>
      <c r="C778">
        <v>2886907</v>
      </c>
      <c r="D778" t="s">
        <v>1561</v>
      </c>
      <c r="F778" t="str">
        <f t="shared" si="12"/>
        <v>United States</v>
      </c>
    </row>
    <row r="779" spans="2:6" x14ac:dyDescent="0.35">
      <c r="B779" t="s">
        <v>1263</v>
      </c>
      <c r="C779" t="s">
        <v>1264</v>
      </c>
      <c r="D779" t="s">
        <v>1582</v>
      </c>
      <c r="F779" t="str">
        <f t="shared" si="12"/>
        <v>Brazil</v>
      </c>
    </row>
    <row r="780" spans="2:6" x14ac:dyDescent="0.35">
      <c r="B780" t="s">
        <v>1265</v>
      </c>
      <c r="C780">
        <v>6139340</v>
      </c>
      <c r="D780" t="s">
        <v>1577</v>
      </c>
      <c r="F780" t="str">
        <f t="shared" si="12"/>
        <v>India</v>
      </c>
    </row>
    <row r="781" spans="2:6" x14ac:dyDescent="0.35">
      <c r="B781" t="s">
        <v>1266</v>
      </c>
      <c r="C781">
        <v>2989301</v>
      </c>
      <c r="D781" t="s">
        <v>1561</v>
      </c>
      <c r="F781" t="str">
        <f t="shared" si="12"/>
        <v>United States</v>
      </c>
    </row>
    <row r="782" spans="2:6" x14ac:dyDescent="0.35">
      <c r="B782" t="s">
        <v>1267</v>
      </c>
      <c r="C782" t="s">
        <v>1268</v>
      </c>
      <c r="D782" t="s">
        <v>1561</v>
      </c>
      <c r="F782" t="str">
        <f t="shared" si="12"/>
        <v>United States</v>
      </c>
    </row>
    <row r="783" spans="2:6" x14ac:dyDescent="0.35">
      <c r="B783" t="s">
        <v>1269</v>
      </c>
      <c r="C783">
        <v>6895675</v>
      </c>
      <c r="D783" t="s">
        <v>1563</v>
      </c>
      <c r="F783" t="str">
        <f t="shared" si="12"/>
        <v>Japan</v>
      </c>
    </row>
    <row r="784" spans="2:6" x14ac:dyDescent="0.35">
      <c r="B784" t="s">
        <v>1270</v>
      </c>
      <c r="C784" t="s">
        <v>1271</v>
      </c>
      <c r="D784" t="s">
        <v>1572</v>
      </c>
      <c r="F784" t="str">
        <f t="shared" si="12"/>
        <v>France</v>
      </c>
    </row>
    <row r="785" spans="2:6" x14ac:dyDescent="0.35">
      <c r="B785" t="s">
        <v>1272</v>
      </c>
      <c r="C785">
        <v>6900643</v>
      </c>
      <c r="D785" t="s">
        <v>1563</v>
      </c>
      <c r="F785" t="str">
        <f t="shared" si="12"/>
        <v>Japan</v>
      </c>
    </row>
    <row r="786" spans="2:6" x14ac:dyDescent="0.35">
      <c r="B786" t="s">
        <v>1273</v>
      </c>
      <c r="C786" t="s">
        <v>1274</v>
      </c>
      <c r="D786" t="s">
        <v>1561</v>
      </c>
      <c r="F786" t="str">
        <f t="shared" si="12"/>
        <v>United States</v>
      </c>
    </row>
    <row r="787" spans="2:6" x14ac:dyDescent="0.35">
      <c r="B787" t="s">
        <v>1275</v>
      </c>
      <c r="C787" t="s">
        <v>1276</v>
      </c>
      <c r="D787" t="s">
        <v>1565</v>
      </c>
      <c r="F787" t="str">
        <f t="shared" si="12"/>
        <v>Ireland</v>
      </c>
    </row>
    <row r="788" spans="2:6" x14ac:dyDescent="0.35">
      <c r="B788" t="s">
        <v>1277</v>
      </c>
      <c r="C788" t="s">
        <v>1278</v>
      </c>
      <c r="D788" t="s">
        <v>1558</v>
      </c>
      <c r="F788" t="str">
        <f t="shared" si="12"/>
        <v>Australia</v>
      </c>
    </row>
    <row r="789" spans="2:6" x14ac:dyDescent="0.35">
      <c r="B789" t="s">
        <v>1279</v>
      </c>
      <c r="C789" t="s">
        <v>1280</v>
      </c>
      <c r="D789" t="s">
        <v>1569</v>
      </c>
      <c r="F789" t="str">
        <f t="shared" si="12"/>
        <v>China</v>
      </c>
    </row>
    <row r="790" spans="2:6" x14ac:dyDescent="0.35">
      <c r="B790" t="s">
        <v>1281</v>
      </c>
      <c r="C790" t="s">
        <v>1282</v>
      </c>
      <c r="D790" t="e">
        <v>#N/A</v>
      </c>
      <c r="E790" t="s">
        <v>54</v>
      </c>
      <c r="F790" t="str">
        <f t="shared" si="12"/>
        <v>HKD</v>
      </c>
    </row>
    <row r="791" spans="2:6" x14ac:dyDescent="0.35">
      <c r="B791" t="s">
        <v>1283</v>
      </c>
      <c r="C791" t="s">
        <v>1284</v>
      </c>
      <c r="D791" t="e">
        <v>#N/A</v>
      </c>
      <c r="E791" t="s">
        <v>18</v>
      </c>
      <c r="F791" t="str">
        <f t="shared" si="12"/>
        <v>AUD</v>
      </c>
    </row>
    <row r="792" spans="2:6" x14ac:dyDescent="0.35">
      <c r="B792" t="s">
        <v>1285</v>
      </c>
      <c r="C792" t="s">
        <v>1286</v>
      </c>
      <c r="D792" t="e">
        <v>#N/A</v>
      </c>
      <c r="E792" t="s">
        <v>1553</v>
      </c>
      <c r="F792" t="str">
        <f t="shared" si="12"/>
        <v>TR</v>
      </c>
    </row>
    <row r="793" spans="2:6" x14ac:dyDescent="0.35">
      <c r="B793" t="s">
        <v>1287</v>
      </c>
      <c r="C793" t="s">
        <v>1288</v>
      </c>
      <c r="D793" t="s">
        <v>1561</v>
      </c>
      <c r="F793" t="str">
        <f t="shared" si="12"/>
        <v>United States</v>
      </c>
    </row>
    <row r="794" spans="2:6" x14ac:dyDescent="0.35">
      <c r="B794" t="s">
        <v>1289</v>
      </c>
      <c r="C794" t="s">
        <v>1290</v>
      </c>
      <c r="D794" t="e">
        <v>#N/A</v>
      </c>
      <c r="E794" t="s">
        <v>18</v>
      </c>
      <c r="F794" t="str">
        <f t="shared" si="12"/>
        <v>AUD</v>
      </c>
    </row>
    <row r="795" spans="2:6" x14ac:dyDescent="0.35">
      <c r="B795" t="s">
        <v>1291</v>
      </c>
      <c r="C795" t="s">
        <v>1292</v>
      </c>
      <c r="D795" t="s">
        <v>1561</v>
      </c>
      <c r="F795" t="str">
        <f t="shared" si="12"/>
        <v>United States</v>
      </c>
    </row>
    <row r="796" spans="2:6" x14ac:dyDescent="0.35">
      <c r="B796" t="s">
        <v>1293</v>
      </c>
      <c r="C796" t="s">
        <v>1294</v>
      </c>
      <c r="D796" t="s">
        <v>1561</v>
      </c>
      <c r="F796" t="str">
        <f t="shared" si="12"/>
        <v>United States</v>
      </c>
    </row>
    <row r="797" spans="2:6" x14ac:dyDescent="0.35">
      <c r="B797" t="s">
        <v>1295</v>
      </c>
      <c r="C797" t="s">
        <v>1296</v>
      </c>
      <c r="D797" t="e">
        <v>#N/A</v>
      </c>
      <c r="E797" t="s">
        <v>26</v>
      </c>
      <c r="F797" t="str">
        <f t="shared" si="12"/>
        <v>BRL</v>
      </c>
    </row>
    <row r="798" spans="2:6" x14ac:dyDescent="0.35">
      <c r="B798" t="s">
        <v>1297</v>
      </c>
      <c r="C798" t="s">
        <v>1298</v>
      </c>
      <c r="D798" t="s">
        <v>1579</v>
      </c>
      <c r="F798" t="str">
        <f t="shared" si="12"/>
        <v>Italy</v>
      </c>
    </row>
    <row r="799" spans="2:6" x14ac:dyDescent="0.35">
      <c r="B799" t="s">
        <v>1299</v>
      </c>
      <c r="C799" t="s">
        <v>1300</v>
      </c>
      <c r="D799" t="s">
        <v>1559</v>
      </c>
      <c r="F799" t="str">
        <f t="shared" si="12"/>
        <v>United Kingdom</v>
      </c>
    </row>
    <row r="800" spans="2:6" x14ac:dyDescent="0.35">
      <c r="B800" t="s">
        <v>1301</v>
      </c>
      <c r="C800">
        <v>6700393</v>
      </c>
      <c r="D800" t="e">
        <v>#N/A</v>
      </c>
      <c r="E800" t="s">
        <v>1535</v>
      </c>
      <c r="F800" t="str">
        <f t="shared" si="12"/>
        <v>TWD</v>
      </c>
    </row>
    <row r="801" spans="2:6" x14ac:dyDescent="0.35">
      <c r="B801" t="s">
        <v>1302</v>
      </c>
      <c r="C801" t="s">
        <v>1303</v>
      </c>
      <c r="D801" t="s">
        <v>1561</v>
      </c>
      <c r="F801" t="str">
        <f t="shared" si="12"/>
        <v>United States</v>
      </c>
    </row>
    <row r="802" spans="2:6" x14ac:dyDescent="0.35">
      <c r="B802" t="s">
        <v>1304</v>
      </c>
      <c r="C802">
        <v>6916781</v>
      </c>
      <c r="D802" t="s">
        <v>1587</v>
      </c>
      <c r="F802" t="str">
        <f t="shared" si="12"/>
        <v>Singapore</v>
      </c>
    </row>
    <row r="803" spans="2:6" x14ac:dyDescent="0.35">
      <c r="B803" t="s">
        <v>1305</v>
      </c>
      <c r="C803">
        <v>2134781</v>
      </c>
      <c r="D803" t="s">
        <v>1561</v>
      </c>
      <c r="F803" t="str">
        <f t="shared" si="12"/>
        <v>United States</v>
      </c>
    </row>
    <row r="804" spans="2:6" x14ac:dyDescent="0.35">
      <c r="B804" t="s">
        <v>1306</v>
      </c>
      <c r="C804">
        <v>2430412</v>
      </c>
      <c r="D804" t="s">
        <v>1561</v>
      </c>
      <c r="F804" t="str">
        <f t="shared" si="12"/>
        <v>United States</v>
      </c>
    </row>
    <row r="805" spans="2:6" x14ac:dyDescent="0.35">
      <c r="B805" t="s">
        <v>1307</v>
      </c>
      <c r="C805">
        <v>6230845</v>
      </c>
      <c r="D805" t="e">
        <v>#N/A</v>
      </c>
      <c r="E805" t="s">
        <v>1540</v>
      </c>
      <c r="F805" t="str">
        <f t="shared" si="12"/>
        <v>IDR</v>
      </c>
    </row>
    <row r="806" spans="2:6" x14ac:dyDescent="0.35">
      <c r="B806" t="s">
        <v>1308</v>
      </c>
      <c r="C806">
        <v>2917766</v>
      </c>
      <c r="D806" t="s">
        <v>1561</v>
      </c>
      <c r="F806" t="str">
        <f t="shared" si="12"/>
        <v>United States</v>
      </c>
    </row>
    <row r="807" spans="2:6" x14ac:dyDescent="0.35">
      <c r="B807" t="s">
        <v>1309</v>
      </c>
      <c r="C807" t="s">
        <v>1310</v>
      </c>
      <c r="D807" t="e">
        <v>#N/A</v>
      </c>
      <c r="E807" t="s">
        <v>18</v>
      </c>
      <c r="F807" t="str">
        <f t="shared" si="12"/>
        <v>AUD</v>
      </c>
    </row>
    <row r="808" spans="2:6" x14ac:dyDescent="0.35">
      <c r="B808" t="s">
        <v>1311</v>
      </c>
      <c r="C808" t="s">
        <v>1312</v>
      </c>
      <c r="D808" t="e">
        <v>#N/A</v>
      </c>
      <c r="E808" t="s">
        <v>34</v>
      </c>
      <c r="F808" t="str">
        <f t="shared" si="12"/>
        <v>INR</v>
      </c>
    </row>
    <row r="809" spans="2:6" x14ac:dyDescent="0.35">
      <c r="B809" t="s">
        <v>1313</v>
      </c>
      <c r="C809">
        <v>2196286</v>
      </c>
      <c r="D809" t="s">
        <v>1582</v>
      </c>
      <c r="F809" t="str">
        <f t="shared" si="12"/>
        <v>Brazil</v>
      </c>
    </row>
    <row r="810" spans="2:6" x14ac:dyDescent="0.35">
      <c r="B810" t="s">
        <v>1314</v>
      </c>
      <c r="C810" t="s">
        <v>1315</v>
      </c>
      <c r="D810" t="e">
        <v>#N/A</v>
      </c>
      <c r="E810" t="s">
        <v>21</v>
      </c>
      <c r="F810" t="str">
        <f t="shared" si="12"/>
        <v>USD</v>
      </c>
    </row>
    <row r="811" spans="2:6" x14ac:dyDescent="0.35">
      <c r="B811" t="s">
        <v>1316</v>
      </c>
      <c r="C811" t="s">
        <v>1317</v>
      </c>
      <c r="D811" t="s">
        <v>1561</v>
      </c>
      <c r="F811" t="str">
        <f t="shared" si="12"/>
        <v>United States</v>
      </c>
    </row>
    <row r="812" spans="2:6" x14ac:dyDescent="0.35">
      <c r="B812" t="s">
        <v>1318</v>
      </c>
      <c r="C812" t="s">
        <v>1319</v>
      </c>
      <c r="D812" t="e">
        <v>#N/A</v>
      </c>
      <c r="E812" t="s">
        <v>18</v>
      </c>
      <c r="F812" t="str">
        <f t="shared" si="12"/>
        <v>AUD</v>
      </c>
    </row>
    <row r="813" spans="2:6" x14ac:dyDescent="0.35">
      <c r="B813" t="s">
        <v>1320</v>
      </c>
      <c r="C813">
        <v>2090571</v>
      </c>
      <c r="D813" t="s">
        <v>1561</v>
      </c>
      <c r="F813" t="str">
        <f t="shared" si="12"/>
        <v>United States</v>
      </c>
    </row>
    <row r="814" spans="2:6" x14ac:dyDescent="0.35">
      <c r="B814" t="s">
        <v>1321</v>
      </c>
      <c r="C814" t="s">
        <v>1322</v>
      </c>
      <c r="D814" t="s">
        <v>1561</v>
      </c>
      <c r="F814" t="str">
        <f t="shared" si="12"/>
        <v>United States</v>
      </c>
    </row>
    <row r="815" spans="2:6" x14ac:dyDescent="0.35">
      <c r="B815" t="s">
        <v>1323</v>
      </c>
      <c r="C815" t="s">
        <v>1324</v>
      </c>
      <c r="D815" t="s">
        <v>1561</v>
      </c>
      <c r="F815" t="str">
        <f t="shared" si="12"/>
        <v>United States</v>
      </c>
    </row>
    <row r="816" spans="2:6" x14ac:dyDescent="0.35">
      <c r="B816" t="s">
        <v>1325</v>
      </c>
      <c r="C816" t="s">
        <v>1326</v>
      </c>
      <c r="D816" t="s">
        <v>1582</v>
      </c>
      <c r="F816" t="str">
        <f t="shared" si="12"/>
        <v>Brazil</v>
      </c>
    </row>
    <row r="817" spans="2:6" x14ac:dyDescent="0.35">
      <c r="B817" t="s">
        <v>1327</v>
      </c>
      <c r="C817" t="s">
        <v>1328</v>
      </c>
      <c r="D817" t="s">
        <v>1561</v>
      </c>
      <c r="F817" t="str">
        <f t="shared" si="12"/>
        <v>United States</v>
      </c>
    </row>
    <row r="818" spans="2:6" x14ac:dyDescent="0.35">
      <c r="B818" t="s">
        <v>1329</v>
      </c>
      <c r="C818" t="s">
        <v>1330</v>
      </c>
      <c r="D818" t="s">
        <v>1558</v>
      </c>
      <c r="F818" t="str">
        <f t="shared" si="12"/>
        <v>Australia</v>
      </c>
    </row>
    <row r="819" spans="2:6" x14ac:dyDescent="0.35">
      <c r="B819" t="s">
        <v>1331</v>
      </c>
      <c r="C819" t="s">
        <v>1332</v>
      </c>
      <c r="D819" t="s">
        <v>1578</v>
      </c>
      <c r="F819" t="str">
        <f t="shared" si="12"/>
        <v>Sweden</v>
      </c>
    </row>
    <row r="820" spans="2:6" x14ac:dyDescent="0.35">
      <c r="B820" t="s">
        <v>1333</v>
      </c>
      <c r="C820">
        <v>2931205</v>
      </c>
      <c r="D820" t="s">
        <v>1561</v>
      </c>
      <c r="F820" t="str">
        <f t="shared" si="12"/>
        <v>United States</v>
      </c>
    </row>
    <row r="821" spans="2:6" x14ac:dyDescent="0.35">
      <c r="B821" t="s">
        <v>1334</v>
      </c>
      <c r="C821" t="s">
        <v>1335</v>
      </c>
      <c r="D821" t="e">
        <v>#N/A</v>
      </c>
      <c r="E821" t="s">
        <v>18</v>
      </c>
      <c r="F821" t="str">
        <f t="shared" si="12"/>
        <v>AUD</v>
      </c>
    </row>
    <row r="822" spans="2:6" x14ac:dyDescent="0.35">
      <c r="B822" t="s">
        <v>1336</v>
      </c>
      <c r="C822">
        <v>2936921</v>
      </c>
      <c r="D822" t="s">
        <v>1561</v>
      </c>
      <c r="F822" t="str">
        <f t="shared" si="12"/>
        <v>United States</v>
      </c>
    </row>
    <row r="823" spans="2:6" x14ac:dyDescent="0.35">
      <c r="B823" t="s">
        <v>1337</v>
      </c>
      <c r="C823">
        <v>4525189</v>
      </c>
      <c r="D823" t="s">
        <v>1590</v>
      </c>
      <c r="F823" t="str">
        <f t="shared" si="12"/>
        <v>Finland</v>
      </c>
    </row>
    <row r="824" spans="2:6" x14ac:dyDescent="0.35">
      <c r="B824" t="s">
        <v>1338</v>
      </c>
      <c r="C824">
        <v>6821807</v>
      </c>
      <c r="D824" t="s">
        <v>1558</v>
      </c>
      <c r="F824" t="str">
        <f t="shared" si="12"/>
        <v>Australia</v>
      </c>
    </row>
    <row r="825" spans="2:6" x14ac:dyDescent="0.35">
      <c r="B825" t="s">
        <v>1339</v>
      </c>
      <c r="C825">
        <v>6015815</v>
      </c>
      <c r="D825" t="e">
        <v>#N/A</v>
      </c>
      <c r="E825" t="s">
        <v>18</v>
      </c>
      <c r="F825" t="str">
        <f t="shared" si="12"/>
        <v>AUD</v>
      </c>
    </row>
    <row r="826" spans="2:6" x14ac:dyDescent="0.35">
      <c r="B826" t="s">
        <v>1340</v>
      </c>
      <c r="C826">
        <v>2945422</v>
      </c>
      <c r="D826" t="e">
        <v>#N/A</v>
      </c>
      <c r="E826" t="s">
        <v>26</v>
      </c>
      <c r="F826" t="str">
        <f t="shared" si="12"/>
        <v>BRL</v>
      </c>
    </row>
    <row r="827" spans="2:6" x14ac:dyDescent="0.35">
      <c r="B827" t="s">
        <v>1341</v>
      </c>
      <c r="C827">
        <v>2649100</v>
      </c>
      <c r="D827" t="s">
        <v>1561</v>
      </c>
      <c r="F827" t="str">
        <f t="shared" si="12"/>
        <v>United States</v>
      </c>
    </row>
    <row r="828" spans="2:6" x14ac:dyDescent="0.35">
      <c r="B828" t="s">
        <v>1342</v>
      </c>
      <c r="C828">
        <v>6948836</v>
      </c>
      <c r="D828" t="s">
        <v>1558</v>
      </c>
      <c r="F828" t="str">
        <f t="shared" si="12"/>
        <v>Australia</v>
      </c>
    </row>
    <row r="829" spans="2:6" x14ac:dyDescent="0.35">
      <c r="B829" t="s">
        <v>1343</v>
      </c>
      <c r="C829" t="s">
        <v>1344</v>
      </c>
      <c r="D829" t="e">
        <v>#N/A</v>
      </c>
      <c r="E829" t="s">
        <v>18</v>
      </c>
      <c r="F829" t="str">
        <f t="shared" si="12"/>
        <v>AUD</v>
      </c>
    </row>
    <row r="830" spans="2:6" x14ac:dyDescent="0.35">
      <c r="B830" t="s">
        <v>1345</v>
      </c>
      <c r="C830" t="s">
        <v>1346</v>
      </c>
      <c r="D830" t="e">
        <v>#N/A</v>
      </c>
      <c r="E830" t="s">
        <v>18</v>
      </c>
      <c r="F830" t="str">
        <f t="shared" si="12"/>
        <v>AUD</v>
      </c>
    </row>
    <row r="831" spans="2:6" x14ac:dyDescent="0.35">
      <c r="B831" t="s">
        <v>1347</v>
      </c>
      <c r="C831">
        <v>2955733</v>
      </c>
      <c r="D831" t="s">
        <v>1561</v>
      </c>
      <c r="F831" t="str">
        <f t="shared" si="12"/>
        <v>United States</v>
      </c>
    </row>
    <row r="832" spans="2:6" x14ac:dyDescent="0.35">
      <c r="B832" t="s">
        <v>1348</v>
      </c>
      <c r="C832">
        <v>6076146</v>
      </c>
      <c r="D832" t="s">
        <v>1558</v>
      </c>
      <c r="F832" t="str">
        <f t="shared" si="12"/>
        <v>Australia</v>
      </c>
    </row>
    <row r="833" spans="2:6" x14ac:dyDescent="0.35">
      <c r="B833" t="s">
        <v>1349</v>
      </c>
      <c r="C833" t="s">
        <v>1350</v>
      </c>
      <c r="D833" t="s">
        <v>1568</v>
      </c>
      <c r="F833" t="str">
        <f t="shared" si="12"/>
        <v>Hong Kong</v>
      </c>
    </row>
    <row r="834" spans="2:6" x14ac:dyDescent="0.35">
      <c r="B834" t="s">
        <v>1351</v>
      </c>
      <c r="C834" t="s">
        <v>1352</v>
      </c>
      <c r="D834" t="e">
        <v>#N/A</v>
      </c>
      <c r="E834" t="s">
        <v>1547</v>
      </c>
      <c r="F834" t="str">
        <f t="shared" si="12"/>
        <v>CA</v>
      </c>
    </row>
    <row r="835" spans="2:6" x14ac:dyDescent="0.35">
      <c r="B835" t="s">
        <v>1353</v>
      </c>
      <c r="C835" t="s">
        <v>1354</v>
      </c>
      <c r="D835" t="s">
        <v>1558</v>
      </c>
      <c r="F835" t="str">
        <f t="shared" ref="F835:F898" si="13">_xlfn.IFNA(D835,E835)</f>
        <v>Australia</v>
      </c>
    </row>
    <row r="836" spans="2:6" x14ac:dyDescent="0.35">
      <c r="B836" t="s">
        <v>1355</v>
      </c>
      <c r="C836">
        <v>2967589</v>
      </c>
      <c r="D836" t="s">
        <v>1561</v>
      </c>
      <c r="F836" t="str">
        <f t="shared" si="13"/>
        <v>United States</v>
      </c>
    </row>
    <row r="837" spans="2:6" x14ac:dyDescent="0.35">
      <c r="B837" t="s">
        <v>1356</v>
      </c>
      <c r="C837">
        <v>6206051</v>
      </c>
      <c r="D837" t="e">
        <v>#N/A</v>
      </c>
      <c r="E837" t="s">
        <v>34</v>
      </c>
      <c r="F837" t="str">
        <f t="shared" si="13"/>
        <v>INR</v>
      </c>
    </row>
    <row r="838" spans="2:6" x14ac:dyDescent="0.35">
      <c r="B838" t="s">
        <v>1357</v>
      </c>
      <c r="C838" t="s">
        <v>1358</v>
      </c>
      <c r="D838" t="s">
        <v>1558</v>
      </c>
      <c r="F838" t="str">
        <f t="shared" si="13"/>
        <v>Australia</v>
      </c>
    </row>
    <row r="839" spans="2:6" x14ac:dyDescent="0.35">
      <c r="B839" t="s">
        <v>1359</v>
      </c>
      <c r="C839" t="s">
        <v>1360</v>
      </c>
      <c r="D839" t="s">
        <v>1574</v>
      </c>
      <c r="F839" t="str">
        <f t="shared" si="13"/>
        <v>Israel</v>
      </c>
    </row>
    <row r="840" spans="2:6" x14ac:dyDescent="0.35">
      <c r="B840" t="s">
        <v>1361</v>
      </c>
      <c r="C840">
        <v>5671519</v>
      </c>
      <c r="D840" t="s">
        <v>1564</v>
      </c>
      <c r="F840" t="str">
        <f t="shared" si="13"/>
        <v>Netherlands</v>
      </c>
    </row>
    <row r="841" spans="2:6" x14ac:dyDescent="0.35">
      <c r="B841" t="s">
        <v>1362</v>
      </c>
      <c r="C841" t="s">
        <v>1363</v>
      </c>
      <c r="D841" t="e">
        <v>#N/A</v>
      </c>
      <c r="E841" t="s">
        <v>18</v>
      </c>
      <c r="F841" t="str">
        <f t="shared" si="13"/>
        <v>AUD</v>
      </c>
    </row>
    <row r="842" spans="2:6" x14ac:dyDescent="0.35">
      <c r="B842" t="s">
        <v>1364</v>
      </c>
      <c r="C842">
        <v>6981239</v>
      </c>
      <c r="D842" t="s">
        <v>1558</v>
      </c>
      <c r="F842" t="str">
        <f t="shared" si="13"/>
        <v>Australia</v>
      </c>
    </row>
    <row r="843" spans="2:6" x14ac:dyDescent="0.35">
      <c r="B843" t="s">
        <v>1365</v>
      </c>
      <c r="C843" t="s">
        <v>1366</v>
      </c>
      <c r="D843" t="s">
        <v>1585</v>
      </c>
      <c r="F843" t="str">
        <f t="shared" si="13"/>
        <v>South Korea</v>
      </c>
    </row>
    <row r="844" spans="2:6" x14ac:dyDescent="0.35">
      <c r="B844" t="s">
        <v>1367</v>
      </c>
      <c r="C844" t="s">
        <v>1368</v>
      </c>
      <c r="D844" t="s">
        <v>1561</v>
      </c>
      <c r="F844" t="str">
        <f t="shared" si="13"/>
        <v>United States</v>
      </c>
    </row>
    <row r="845" spans="2:6" x14ac:dyDescent="0.35">
      <c r="B845" t="s">
        <v>1369</v>
      </c>
      <c r="C845">
        <v>6562474</v>
      </c>
      <c r="D845" t="s">
        <v>1558</v>
      </c>
      <c r="F845" t="str">
        <f t="shared" si="13"/>
        <v>Australia</v>
      </c>
    </row>
    <row r="846" spans="2:6" x14ac:dyDescent="0.35">
      <c r="B846" t="s">
        <v>1370</v>
      </c>
      <c r="C846" t="s">
        <v>1371</v>
      </c>
      <c r="D846" t="s">
        <v>1567</v>
      </c>
      <c r="F846" t="str">
        <f t="shared" si="13"/>
        <v>Canada</v>
      </c>
    </row>
    <row r="847" spans="2:6" x14ac:dyDescent="0.35">
      <c r="B847" t="s">
        <v>1372</v>
      </c>
      <c r="C847">
        <v>2963811</v>
      </c>
      <c r="D847" t="e">
        <v>#N/A</v>
      </c>
      <c r="E847" t="s">
        <v>21</v>
      </c>
      <c r="F847" t="str">
        <f t="shared" si="13"/>
        <v>USD</v>
      </c>
    </row>
    <row r="848" spans="2:6" x14ac:dyDescent="0.35">
      <c r="B848" t="s">
        <v>1373</v>
      </c>
      <c r="C848" t="s">
        <v>1374</v>
      </c>
      <c r="D848" t="s">
        <v>1596</v>
      </c>
      <c r="F848" t="str">
        <f t="shared" si="13"/>
        <v>New Zealand</v>
      </c>
    </row>
    <row r="849" spans="2:6" x14ac:dyDescent="0.35">
      <c r="B849" t="s">
        <v>1375</v>
      </c>
      <c r="C849" t="s">
        <v>1376</v>
      </c>
      <c r="D849" t="e">
        <v>#N/A</v>
      </c>
      <c r="E849" t="s">
        <v>54</v>
      </c>
      <c r="F849" t="str">
        <f t="shared" si="13"/>
        <v>HKD</v>
      </c>
    </row>
    <row r="850" spans="2:6" x14ac:dyDescent="0.35">
      <c r="B850" t="s">
        <v>1377</v>
      </c>
      <c r="C850" t="s">
        <v>1378</v>
      </c>
      <c r="D850" t="e">
        <v>#N/A</v>
      </c>
      <c r="E850" t="s">
        <v>21</v>
      </c>
      <c r="F850" t="str">
        <f t="shared" si="13"/>
        <v>USD</v>
      </c>
    </row>
    <row r="851" spans="2:6" x14ac:dyDescent="0.35">
      <c r="B851" t="s">
        <v>1379</v>
      </c>
      <c r="C851">
        <v>6986427</v>
      </c>
      <c r="D851" t="s">
        <v>1563</v>
      </c>
      <c r="F851" t="str">
        <f t="shared" si="13"/>
        <v>Japan</v>
      </c>
    </row>
    <row r="852" spans="2:6" x14ac:dyDescent="0.35">
      <c r="B852" t="s">
        <v>1380</v>
      </c>
      <c r="C852">
        <v>6424110</v>
      </c>
      <c r="D852" t="s">
        <v>1571</v>
      </c>
      <c r="F852" t="str">
        <f t="shared" si="13"/>
        <v>Taiwan</v>
      </c>
    </row>
    <row r="853" spans="2:6" x14ac:dyDescent="0.35">
      <c r="B853" t="s">
        <v>1381</v>
      </c>
      <c r="C853" t="s">
        <v>1382</v>
      </c>
      <c r="D853" t="e">
        <v>#N/A</v>
      </c>
      <c r="E853" t="s">
        <v>50</v>
      </c>
      <c r="F853" t="str">
        <f t="shared" si="13"/>
        <v>CNY</v>
      </c>
    </row>
    <row r="854" spans="2:6" x14ac:dyDescent="0.35">
      <c r="B854" t="s">
        <v>1383</v>
      </c>
      <c r="C854">
        <v>2989356</v>
      </c>
      <c r="D854" t="s">
        <v>1561</v>
      </c>
      <c r="F854" t="str">
        <f t="shared" si="13"/>
        <v>United States</v>
      </c>
    </row>
    <row r="855" spans="2:6" x14ac:dyDescent="0.35">
      <c r="B855" t="s">
        <v>1384</v>
      </c>
      <c r="C855">
        <v>6725299</v>
      </c>
      <c r="D855" t="e">
        <v>#N/A</v>
      </c>
      <c r="E855" t="s">
        <v>54</v>
      </c>
      <c r="F855" t="str">
        <f t="shared" si="13"/>
        <v>HKD</v>
      </c>
    </row>
    <row r="856" spans="2:6" x14ac:dyDescent="0.35">
      <c r="B856" t="s">
        <v>1385</v>
      </c>
      <c r="C856" t="s">
        <v>1386</v>
      </c>
      <c r="D856" t="e">
        <v>#N/A</v>
      </c>
      <c r="E856" t="s">
        <v>18</v>
      </c>
      <c r="F856" t="str">
        <f t="shared" si="13"/>
        <v>AUD</v>
      </c>
    </row>
    <row r="857" spans="2:6" x14ac:dyDescent="0.35">
      <c r="B857" t="s">
        <v>1387</v>
      </c>
      <c r="C857" t="s">
        <v>1388</v>
      </c>
      <c r="D857" t="s">
        <v>1561</v>
      </c>
      <c r="F857" t="str">
        <f t="shared" si="13"/>
        <v>United States</v>
      </c>
    </row>
    <row r="858" spans="2:6" x14ac:dyDescent="0.35">
      <c r="B858" t="s">
        <v>1389</v>
      </c>
      <c r="C858">
        <v>5983816</v>
      </c>
      <c r="D858" t="s">
        <v>1560</v>
      </c>
      <c r="F858" t="str">
        <f t="shared" si="13"/>
        <v>Switzerland</v>
      </c>
    </row>
    <row r="859" spans="2:6" x14ac:dyDescent="0.35">
      <c r="B859" t="s">
        <v>1390</v>
      </c>
      <c r="C859" t="s">
        <v>1391</v>
      </c>
      <c r="D859" t="e">
        <v>#N/A</v>
      </c>
      <c r="E859" t="s">
        <v>34</v>
      </c>
      <c r="F859" t="str">
        <f t="shared" si="13"/>
        <v>INR</v>
      </c>
    </row>
    <row r="860" spans="2:6" x14ac:dyDescent="0.35">
      <c r="B860" t="s">
        <v>1404</v>
      </c>
      <c r="C860" t="s">
        <v>1405</v>
      </c>
      <c r="D860" t="e">
        <v>#N/A</v>
      </c>
      <c r="E860" t="s">
        <v>18</v>
      </c>
      <c r="F860" t="str">
        <f t="shared" si="13"/>
        <v>AUD</v>
      </c>
    </row>
    <row r="861" spans="2:6" x14ac:dyDescent="0.35">
      <c r="B861" t="s">
        <v>1406</v>
      </c>
      <c r="C861">
        <v>2062161</v>
      </c>
      <c r="D861" t="e">
        <v>#N/A</v>
      </c>
      <c r="E861" t="s">
        <v>21</v>
      </c>
      <c r="F861" t="str">
        <f t="shared" si="13"/>
        <v>USD</v>
      </c>
    </row>
    <row r="862" spans="2:6" x14ac:dyDescent="0.35">
      <c r="B862" t="s">
        <v>1407</v>
      </c>
      <c r="C862" t="s">
        <v>1408</v>
      </c>
      <c r="D862" t="e">
        <v>#N/A</v>
      </c>
      <c r="E862" t="s">
        <v>1549</v>
      </c>
      <c r="F862" t="str">
        <f t="shared" si="13"/>
        <v>AU</v>
      </c>
    </row>
    <row r="863" spans="2:6" x14ac:dyDescent="0.35">
      <c r="B863" t="s">
        <v>1409</v>
      </c>
      <c r="C863" t="s">
        <v>1410</v>
      </c>
      <c r="D863" t="e">
        <v>#N/A</v>
      </c>
      <c r="E863" t="s">
        <v>18</v>
      </c>
      <c r="F863" t="str">
        <f t="shared" si="13"/>
        <v>AUD</v>
      </c>
    </row>
    <row r="864" spans="2:6" x14ac:dyDescent="0.35">
      <c r="B864" t="s">
        <v>1411</v>
      </c>
      <c r="C864">
        <v>2131179</v>
      </c>
      <c r="D864" t="e">
        <v>#N/A</v>
      </c>
      <c r="E864" t="s">
        <v>21</v>
      </c>
      <c r="F864" t="str">
        <f t="shared" si="13"/>
        <v>USD</v>
      </c>
    </row>
    <row r="865" spans="2:6" x14ac:dyDescent="0.35">
      <c r="B865" t="s">
        <v>1412</v>
      </c>
      <c r="C865">
        <v>286941</v>
      </c>
      <c r="D865" t="e">
        <v>#N/A</v>
      </c>
      <c r="E865" t="s">
        <v>53</v>
      </c>
      <c r="F865" t="str">
        <f t="shared" si="13"/>
        <v>GBP</v>
      </c>
    </row>
    <row r="866" spans="2:6" x14ac:dyDescent="0.35">
      <c r="B866" t="s">
        <v>1413</v>
      </c>
      <c r="C866">
        <v>136701</v>
      </c>
      <c r="D866" t="e">
        <v>#N/A</v>
      </c>
      <c r="E866" t="s">
        <v>53</v>
      </c>
      <c r="F866" t="str">
        <f t="shared" si="13"/>
        <v>GBP</v>
      </c>
    </row>
    <row r="867" spans="2:6" x14ac:dyDescent="0.35">
      <c r="B867" t="s">
        <v>1414</v>
      </c>
      <c r="C867">
        <v>6127453</v>
      </c>
      <c r="D867" t="e">
        <v>#N/A</v>
      </c>
      <c r="E867" t="s">
        <v>18</v>
      </c>
      <c r="F867" t="str">
        <f t="shared" si="13"/>
        <v>AUD</v>
      </c>
    </row>
    <row r="868" spans="2:6" x14ac:dyDescent="0.35">
      <c r="B868" t="s">
        <v>1415</v>
      </c>
      <c r="C868">
        <v>2019479</v>
      </c>
      <c r="D868" t="e">
        <v>#N/A</v>
      </c>
      <c r="E868" t="s">
        <v>21</v>
      </c>
      <c r="F868" t="str">
        <f t="shared" si="13"/>
        <v>USD</v>
      </c>
    </row>
    <row r="869" spans="2:6" x14ac:dyDescent="0.35">
      <c r="B869" t="s">
        <v>1416</v>
      </c>
      <c r="C869">
        <v>2117599</v>
      </c>
      <c r="D869" t="e">
        <v>#N/A</v>
      </c>
      <c r="E869" t="s">
        <v>48</v>
      </c>
      <c r="F869" t="str">
        <f t="shared" si="13"/>
        <v>CAD</v>
      </c>
    </row>
    <row r="870" spans="2:6" x14ac:dyDescent="0.35">
      <c r="B870" t="s">
        <v>1417</v>
      </c>
      <c r="C870">
        <v>6518745</v>
      </c>
      <c r="D870" t="s">
        <v>1558</v>
      </c>
      <c r="F870" t="str">
        <f t="shared" si="13"/>
        <v>Australia</v>
      </c>
    </row>
    <row r="871" spans="2:6" x14ac:dyDescent="0.35">
      <c r="B871" t="s">
        <v>1418</v>
      </c>
      <c r="C871" t="s">
        <v>1419</v>
      </c>
      <c r="D871" t="e">
        <v>#N/A</v>
      </c>
      <c r="E871" t="s">
        <v>18</v>
      </c>
      <c r="F871" t="str">
        <f t="shared" si="13"/>
        <v>AUD</v>
      </c>
    </row>
    <row r="872" spans="2:6" x14ac:dyDescent="0.35">
      <c r="B872" t="s">
        <v>1420</v>
      </c>
      <c r="C872" t="s">
        <v>1421</v>
      </c>
      <c r="D872" t="e">
        <v>#N/A</v>
      </c>
      <c r="E872" t="s">
        <v>18</v>
      </c>
      <c r="F872" t="str">
        <f t="shared" si="13"/>
        <v>AUD</v>
      </c>
    </row>
    <row r="873" spans="2:6" x14ac:dyDescent="0.35">
      <c r="B873" t="s">
        <v>1422</v>
      </c>
      <c r="C873" t="s">
        <v>1423</v>
      </c>
      <c r="D873" t="s">
        <v>1558</v>
      </c>
      <c r="F873" t="str">
        <f t="shared" si="13"/>
        <v>Australia</v>
      </c>
    </row>
    <row r="874" spans="2:6" x14ac:dyDescent="0.35">
      <c r="B874" t="s">
        <v>1424</v>
      </c>
      <c r="C874" t="s">
        <v>1425</v>
      </c>
      <c r="D874" t="e">
        <v>#N/A</v>
      </c>
      <c r="E874" t="s">
        <v>18</v>
      </c>
      <c r="F874" t="str">
        <f t="shared" si="13"/>
        <v>AUD</v>
      </c>
    </row>
    <row r="875" spans="2:6" x14ac:dyDescent="0.35">
      <c r="B875" t="s">
        <v>1426</v>
      </c>
      <c r="C875">
        <v>6225595</v>
      </c>
      <c r="D875" t="e">
        <v>#N/A</v>
      </c>
      <c r="E875" t="s">
        <v>18</v>
      </c>
      <c r="F875" t="str">
        <f t="shared" si="13"/>
        <v>AUD</v>
      </c>
    </row>
    <row r="876" spans="2:6" x14ac:dyDescent="0.35">
      <c r="B876" t="s">
        <v>1427</v>
      </c>
      <c r="C876" t="s">
        <v>1428</v>
      </c>
      <c r="D876" t="e">
        <v>#N/A</v>
      </c>
      <c r="E876" t="s">
        <v>18</v>
      </c>
      <c r="F876" t="str">
        <f t="shared" si="13"/>
        <v>AUD</v>
      </c>
    </row>
    <row r="877" spans="2:6" x14ac:dyDescent="0.35">
      <c r="B877" t="s">
        <v>1429</v>
      </c>
      <c r="C877" t="s">
        <v>1430</v>
      </c>
      <c r="D877" t="e">
        <v>#N/A</v>
      </c>
      <c r="E877" t="s">
        <v>21</v>
      </c>
      <c r="F877" t="str">
        <f t="shared" si="13"/>
        <v>USD</v>
      </c>
    </row>
    <row r="878" spans="2:6" x14ac:dyDescent="0.35">
      <c r="B878" t="s">
        <v>1431</v>
      </c>
      <c r="C878">
        <v>7745638</v>
      </c>
      <c r="D878" t="e">
        <v>#N/A</v>
      </c>
      <c r="E878" t="s">
        <v>31</v>
      </c>
      <c r="F878" t="str">
        <f t="shared" si="13"/>
        <v>EUR</v>
      </c>
    </row>
    <row r="879" spans="2:6" x14ac:dyDescent="0.35">
      <c r="B879" t="s">
        <v>1432</v>
      </c>
      <c r="C879">
        <v>6225476</v>
      </c>
      <c r="D879" t="e">
        <v>#N/A</v>
      </c>
      <c r="E879" t="s">
        <v>18</v>
      </c>
      <c r="F879" t="str">
        <f t="shared" si="13"/>
        <v>AUD</v>
      </c>
    </row>
    <row r="880" spans="2:6" x14ac:dyDescent="0.35">
      <c r="B880" t="s">
        <v>1433</v>
      </c>
      <c r="C880" t="s">
        <v>1434</v>
      </c>
      <c r="D880" t="e">
        <v>#N/A</v>
      </c>
      <c r="E880" t="s">
        <v>1554</v>
      </c>
      <c r="F880" t="str">
        <f t="shared" si="13"/>
        <v>US</v>
      </c>
    </row>
    <row r="881" spans="2:6" x14ac:dyDescent="0.35">
      <c r="B881" t="s">
        <v>1435</v>
      </c>
      <c r="C881" t="s">
        <v>1436</v>
      </c>
      <c r="D881" t="e">
        <v>#N/A</v>
      </c>
      <c r="E881" t="s">
        <v>21</v>
      </c>
      <c r="F881" t="str">
        <f t="shared" si="13"/>
        <v>USD</v>
      </c>
    </row>
    <row r="882" spans="2:6" x14ac:dyDescent="0.35">
      <c r="B882" t="s">
        <v>1437</v>
      </c>
      <c r="C882">
        <v>265274</v>
      </c>
      <c r="D882" t="e">
        <v>#N/A</v>
      </c>
      <c r="E882" t="s">
        <v>53</v>
      </c>
      <c r="F882" t="str">
        <f t="shared" si="13"/>
        <v>GBP</v>
      </c>
    </row>
    <row r="883" spans="2:6" x14ac:dyDescent="0.35">
      <c r="B883" t="s">
        <v>1438</v>
      </c>
      <c r="C883" t="s">
        <v>1439</v>
      </c>
      <c r="D883" t="e">
        <v>#N/A</v>
      </c>
      <c r="E883" t="s">
        <v>18</v>
      </c>
      <c r="F883" t="str">
        <f t="shared" si="13"/>
        <v>AUD</v>
      </c>
    </row>
    <row r="884" spans="2:6" x14ac:dyDescent="0.35">
      <c r="B884" t="s">
        <v>1440</v>
      </c>
      <c r="C884" t="s">
        <v>1441</v>
      </c>
      <c r="D884" t="s">
        <v>1558</v>
      </c>
      <c r="F884" t="str">
        <f t="shared" si="13"/>
        <v>Australia</v>
      </c>
    </row>
    <row r="885" spans="2:6" x14ac:dyDescent="0.35">
      <c r="B885" t="s">
        <v>1442</v>
      </c>
      <c r="C885" t="s">
        <v>1443</v>
      </c>
      <c r="D885" t="e">
        <v>#N/A</v>
      </c>
      <c r="E885" t="s">
        <v>21</v>
      </c>
      <c r="F885" t="str">
        <f t="shared" si="13"/>
        <v>USD</v>
      </c>
    </row>
    <row r="886" spans="2:6" x14ac:dyDescent="0.35">
      <c r="B886" t="s">
        <v>1444</v>
      </c>
      <c r="C886" t="s">
        <v>1445</v>
      </c>
      <c r="D886" t="e">
        <v>#N/A</v>
      </c>
      <c r="E886" t="s">
        <v>21</v>
      </c>
      <c r="F886" t="str">
        <f t="shared" si="13"/>
        <v>USD</v>
      </c>
    </row>
    <row r="887" spans="2:6" x14ac:dyDescent="0.35">
      <c r="B887" t="s">
        <v>1446</v>
      </c>
      <c r="C887">
        <v>2563125</v>
      </c>
      <c r="D887" t="e">
        <v>#N/A</v>
      </c>
      <c r="E887" t="s">
        <v>21</v>
      </c>
      <c r="F887" t="str">
        <f t="shared" si="13"/>
        <v>USD</v>
      </c>
    </row>
    <row r="888" spans="2:6" x14ac:dyDescent="0.35">
      <c r="B888" t="s">
        <v>1447</v>
      </c>
      <c r="C888">
        <v>2319157</v>
      </c>
      <c r="D888" t="e">
        <v>#N/A</v>
      </c>
      <c r="E888" t="s">
        <v>21</v>
      </c>
      <c r="F888" t="str">
        <f t="shared" si="13"/>
        <v>USD</v>
      </c>
    </row>
    <row r="889" spans="2:6" x14ac:dyDescent="0.35">
      <c r="B889" t="s">
        <v>1448</v>
      </c>
      <c r="C889" t="s">
        <v>1449</v>
      </c>
      <c r="D889" t="e">
        <v>#N/A</v>
      </c>
      <c r="E889" t="s">
        <v>21</v>
      </c>
      <c r="F889" t="str">
        <f t="shared" si="13"/>
        <v>USD</v>
      </c>
    </row>
    <row r="890" spans="2:6" x14ac:dyDescent="0.35">
      <c r="B890" t="s">
        <v>1450</v>
      </c>
      <c r="C890">
        <v>2316619</v>
      </c>
      <c r="D890" t="e">
        <v>#N/A</v>
      </c>
      <c r="E890" t="s">
        <v>21</v>
      </c>
      <c r="F890" t="str">
        <f t="shared" si="13"/>
        <v>USD</v>
      </c>
    </row>
    <row r="891" spans="2:6" x14ac:dyDescent="0.35">
      <c r="B891" t="s">
        <v>1451</v>
      </c>
      <c r="C891" t="s">
        <v>1452</v>
      </c>
      <c r="D891" t="e">
        <v>#N/A</v>
      </c>
      <c r="E891" t="s">
        <v>21</v>
      </c>
      <c r="F891" t="str">
        <f t="shared" si="13"/>
        <v>USD</v>
      </c>
    </row>
    <row r="892" spans="2:6" x14ac:dyDescent="0.35">
      <c r="B892" t="s">
        <v>1453</v>
      </c>
      <c r="C892" t="s">
        <v>1454</v>
      </c>
      <c r="D892" t="e">
        <v>#N/A</v>
      </c>
      <c r="E892" t="s">
        <v>1554</v>
      </c>
      <c r="F892" t="str">
        <f t="shared" si="13"/>
        <v>US</v>
      </c>
    </row>
    <row r="893" spans="2:6" x14ac:dyDescent="0.35">
      <c r="B893" t="s">
        <v>1455</v>
      </c>
      <c r="C893" t="s">
        <v>1456</v>
      </c>
      <c r="D893" t="e">
        <v>#N/A</v>
      </c>
      <c r="E893" t="s">
        <v>35</v>
      </c>
      <c r="F893" t="str">
        <f t="shared" si="13"/>
        <v>MXN</v>
      </c>
    </row>
    <row r="894" spans="2:6" x14ac:dyDescent="0.35">
      <c r="B894" t="s">
        <v>1457</v>
      </c>
      <c r="C894" t="s">
        <v>1458</v>
      </c>
      <c r="D894" t="e">
        <v>#N/A</v>
      </c>
      <c r="E894" t="s">
        <v>18</v>
      </c>
      <c r="F894" t="str">
        <f t="shared" si="13"/>
        <v>AUD</v>
      </c>
    </row>
    <row r="895" spans="2:6" x14ac:dyDescent="0.35">
      <c r="B895" t="s">
        <v>1459</v>
      </c>
      <c r="C895" t="s">
        <v>1460</v>
      </c>
      <c r="D895" t="s">
        <v>1558</v>
      </c>
      <c r="F895" t="str">
        <f t="shared" si="13"/>
        <v>Australia</v>
      </c>
    </row>
    <row r="896" spans="2:6" x14ac:dyDescent="0.35">
      <c r="B896" t="s">
        <v>1461</v>
      </c>
      <c r="C896">
        <v>6365866</v>
      </c>
      <c r="D896" t="s">
        <v>1558</v>
      </c>
      <c r="F896" t="str">
        <f t="shared" si="13"/>
        <v>Australia</v>
      </c>
    </row>
    <row r="897" spans="2:6" x14ac:dyDescent="0.35">
      <c r="B897" t="s">
        <v>1462</v>
      </c>
      <c r="C897" t="s">
        <v>1463</v>
      </c>
      <c r="D897" t="e">
        <v>#N/A</v>
      </c>
      <c r="E897" t="s">
        <v>18</v>
      </c>
      <c r="F897" t="str">
        <f t="shared" si="13"/>
        <v>AUD</v>
      </c>
    </row>
    <row r="898" spans="2:6" x14ac:dyDescent="0.35">
      <c r="B898" t="s">
        <v>1464</v>
      </c>
      <c r="C898" t="s">
        <v>1465</v>
      </c>
      <c r="D898" t="e">
        <v>#N/A</v>
      </c>
      <c r="E898" t="s">
        <v>21</v>
      </c>
      <c r="F898" t="str">
        <f t="shared" si="13"/>
        <v>USD</v>
      </c>
    </row>
    <row r="899" spans="2:6" x14ac:dyDescent="0.35">
      <c r="B899" t="s">
        <v>1466</v>
      </c>
      <c r="C899" t="s">
        <v>1467</v>
      </c>
      <c r="D899" t="e">
        <v>#N/A</v>
      </c>
      <c r="E899" t="s">
        <v>18</v>
      </c>
      <c r="F899" t="str">
        <f t="shared" ref="F899:F936" si="14">_xlfn.IFNA(D899,E899)</f>
        <v>AUD</v>
      </c>
    </row>
    <row r="900" spans="2:6" x14ac:dyDescent="0.35">
      <c r="B900" t="s">
        <v>1468</v>
      </c>
      <c r="C900">
        <v>2567503</v>
      </c>
      <c r="D900" t="e">
        <v>#N/A</v>
      </c>
      <c r="E900" t="s">
        <v>21</v>
      </c>
      <c r="F900" t="str">
        <f t="shared" si="14"/>
        <v>USD</v>
      </c>
    </row>
    <row r="901" spans="2:6" x14ac:dyDescent="0.35">
      <c r="B901" t="s">
        <v>1469</v>
      </c>
      <c r="C901" t="s">
        <v>1470</v>
      </c>
      <c r="D901" t="e">
        <v>#N/A</v>
      </c>
      <c r="E901" t="s">
        <v>18</v>
      </c>
      <c r="F901" t="str">
        <f t="shared" si="14"/>
        <v>AUD</v>
      </c>
    </row>
    <row r="902" spans="2:6" x14ac:dyDescent="0.35">
      <c r="B902" t="s">
        <v>1471</v>
      </c>
      <c r="C902" t="s">
        <v>1472</v>
      </c>
      <c r="D902" t="e">
        <v>#N/A</v>
      </c>
      <c r="E902" t="s">
        <v>18</v>
      </c>
      <c r="F902" t="str">
        <f t="shared" si="14"/>
        <v>AUD</v>
      </c>
    </row>
    <row r="903" spans="2:6" x14ac:dyDescent="0.35">
      <c r="B903" t="s">
        <v>1473</v>
      </c>
      <c r="C903" t="s">
        <v>1474</v>
      </c>
      <c r="D903" t="e">
        <v>#N/A</v>
      </c>
      <c r="E903" t="s">
        <v>21</v>
      </c>
      <c r="F903" t="str">
        <f t="shared" si="14"/>
        <v>USD</v>
      </c>
    </row>
    <row r="904" spans="2:6" x14ac:dyDescent="0.35">
      <c r="B904" t="s">
        <v>1475</v>
      </c>
      <c r="C904" t="s">
        <v>1476</v>
      </c>
      <c r="D904" t="e">
        <v>#N/A</v>
      </c>
      <c r="E904" t="s">
        <v>21</v>
      </c>
      <c r="F904" t="str">
        <f t="shared" si="14"/>
        <v>USD</v>
      </c>
    </row>
    <row r="905" spans="2:6" x14ac:dyDescent="0.35">
      <c r="B905" t="s">
        <v>1477</v>
      </c>
      <c r="C905">
        <v>2495529</v>
      </c>
      <c r="D905" t="e">
        <v>#N/A</v>
      </c>
      <c r="E905" t="s">
        <v>21</v>
      </c>
      <c r="F905" t="str">
        <f t="shared" si="14"/>
        <v>USD</v>
      </c>
    </row>
    <row r="906" spans="2:6" x14ac:dyDescent="0.35">
      <c r="B906" t="s">
        <v>1478</v>
      </c>
      <c r="C906">
        <v>2491594</v>
      </c>
      <c r="D906" t="e">
        <v>#N/A</v>
      </c>
      <c r="E906" t="s">
        <v>21</v>
      </c>
      <c r="F906" t="str">
        <f t="shared" si="14"/>
        <v>USD</v>
      </c>
    </row>
    <row r="907" spans="2:6" x14ac:dyDescent="0.35">
      <c r="B907" t="s">
        <v>1479</v>
      </c>
      <c r="C907">
        <v>7582556</v>
      </c>
      <c r="D907" t="e">
        <v>#N/A</v>
      </c>
      <c r="E907" t="s">
        <v>31</v>
      </c>
      <c r="F907" t="str">
        <f t="shared" si="14"/>
        <v>EUR</v>
      </c>
    </row>
    <row r="908" spans="2:6" x14ac:dyDescent="0.35">
      <c r="B908" t="s">
        <v>1480</v>
      </c>
      <c r="C908" t="s">
        <v>1481</v>
      </c>
      <c r="D908" t="e">
        <v>#N/A</v>
      </c>
      <c r="E908" t="s">
        <v>53</v>
      </c>
      <c r="F908" t="str">
        <f t="shared" si="14"/>
        <v>GBP</v>
      </c>
    </row>
    <row r="909" spans="2:6" x14ac:dyDescent="0.35">
      <c r="B909" t="s">
        <v>1482</v>
      </c>
      <c r="C909">
        <v>6512004</v>
      </c>
      <c r="D909" t="s">
        <v>1558</v>
      </c>
      <c r="F909" t="str">
        <f t="shared" si="14"/>
        <v>Australia</v>
      </c>
    </row>
    <row r="910" spans="2:6" x14ac:dyDescent="0.35">
      <c r="B910" t="s">
        <v>1483</v>
      </c>
      <c r="C910">
        <v>6161978</v>
      </c>
      <c r="D910" t="s">
        <v>1558</v>
      </c>
      <c r="F910" t="str">
        <f t="shared" si="14"/>
        <v>Australia</v>
      </c>
    </row>
    <row r="911" spans="2:6" x14ac:dyDescent="0.35">
      <c r="B911" t="s">
        <v>1484</v>
      </c>
      <c r="C911" t="s">
        <v>1485</v>
      </c>
      <c r="D911" t="e">
        <v>#N/A</v>
      </c>
      <c r="E911" t="s">
        <v>18</v>
      </c>
      <c r="F911" t="str">
        <f t="shared" si="14"/>
        <v>AUD</v>
      </c>
    </row>
    <row r="912" spans="2:6" x14ac:dyDescent="0.35">
      <c r="B912" t="s">
        <v>1486</v>
      </c>
      <c r="C912" t="s">
        <v>1487</v>
      </c>
      <c r="D912" t="e">
        <v>#N/A</v>
      </c>
      <c r="E912" t="s">
        <v>21</v>
      </c>
      <c r="F912" t="str">
        <f t="shared" si="14"/>
        <v>USD</v>
      </c>
    </row>
    <row r="913" spans="2:6" x14ac:dyDescent="0.35">
      <c r="B913" t="s">
        <v>1488</v>
      </c>
      <c r="C913" t="s">
        <v>1489</v>
      </c>
      <c r="D913" t="e">
        <v>#N/A</v>
      </c>
      <c r="E913" t="s">
        <v>18</v>
      </c>
      <c r="F913" t="str">
        <f t="shared" si="14"/>
        <v>AUD</v>
      </c>
    </row>
    <row r="914" spans="2:6" x14ac:dyDescent="0.35">
      <c r="B914" t="s">
        <v>1490</v>
      </c>
      <c r="C914" t="s">
        <v>1491</v>
      </c>
      <c r="D914" t="e">
        <v>#N/A</v>
      </c>
      <c r="E914" t="s">
        <v>18</v>
      </c>
      <c r="F914" t="str">
        <f t="shared" si="14"/>
        <v>AUD</v>
      </c>
    </row>
    <row r="915" spans="2:6" x14ac:dyDescent="0.35">
      <c r="B915" t="s">
        <v>1492</v>
      </c>
      <c r="C915" t="s">
        <v>1493</v>
      </c>
      <c r="D915" t="e">
        <v>#N/A</v>
      </c>
      <c r="E915" t="s">
        <v>21</v>
      </c>
      <c r="F915" t="str">
        <f t="shared" si="14"/>
        <v>USD</v>
      </c>
    </row>
    <row r="916" spans="2:6" x14ac:dyDescent="0.35">
      <c r="B916" t="s">
        <v>1494</v>
      </c>
      <c r="C916" t="s">
        <v>1495</v>
      </c>
      <c r="D916" t="e">
        <v>#N/A</v>
      </c>
      <c r="E916" t="s">
        <v>53</v>
      </c>
      <c r="F916" t="str">
        <f t="shared" si="14"/>
        <v>GBP</v>
      </c>
    </row>
    <row r="917" spans="2:6" x14ac:dyDescent="0.35">
      <c r="B917" t="s">
        <v>1496</v>
      </c>
      <c r="C917" t="s">
        <v>1497</v>
      </c>
      <c r="D917" t="s">
        <v>1558</v>
      </c>
      <c r="F917" t="str">
        <f t="shared" si="14"/>
        <v>Australia</v>
      </c>
    </row>
    <row r="918" spans="2:6" x14ac:dyDescent="0.35">
      <c r="B918" t="s">
        <v>1498</v>
      </c>
      <c r="C918" t="s">
        <v>1499</v>
      </c>
      <c r="D918" t="e">
        <v>#N/A</v>
      </c>
      <c r="E918" t="s">
        <v>53</v>
      </c>
      <c r="F918" t="str">
        <f t="shared" si="14"/>
        <v>GBP</v>
      </c>
    </row>
    <row r="919" spans="2:6" x14ac:dyDescent="0.35">
      <c r="B919" t="s">
        <v>1500</v>
      </c>
      <c r="C919" t="s">
        <v>1501</v>
      </c>
      <c r="D919" t="e">
        <v>#N/A</v>
      </c>
      <c r="E919" t="s">
        <v>31</v>
      </c>
      <c r="F919" t="str">
        <f t="shared" si="14"/>
        <v>EUR</v>
      </c>
    </row>
    <row r="920" spans="2:6" x14ac:dyDescent="0.35">
      <c r="B920" t="s">
        <v>1502</v>
      </c>
      <c r="C920">
        <v>2812452</v>
      </c>
      <c r="D920" t="e">
        <v>#N/A</v>
      </c>
      <c r="E920" t="s">
        <v>21</v>
      </c>
      <c r="F920" t="str">
        <f t="shared" si="14"/>
        <v>USD</v>
      </c>
    </row>
    <row r="921" spans="2:6" x14ac:dyDescent="0.35">
      <c r="B921" t="s">
        <v>1503</v>
      </c>
      <c r="C921" t="s">
        <v>1504</v>
      </c>
      <c r="D921" t="e">
        <v>#N/A</v>
      </c>
      <c r="E921" t="s">
        <v>53</v>
      </c>
      <c r="F921" t="str">
        <f t="shared" si="14"/>
        <v>GBP</v>
      </c>
    </row>
    <row r="922" spans="2:6" x14ac:dyDescent="0.35">
      <c r="B922" t="s">
        <v>1505</v>
      </c>
      <c r="C922">
        <v>6850856</v>
      </c>
      <c r="D922" t="s">
        <v>1558</v>
      </c>
      <c r="F922" t="str">
        <f t="shared" si="14"/>
        <v>Australia</v>
      </c>
    </row>
    <row r="923" spans="2:6" x14ac:dyDescent="0.35">
      <c r="B923" t="s">
        <v>1506</v>
      </c>
      <c r="C923">
        <v>2860257</v>
      </c>
      <c r="D923" t="e">
        <v>#N/A</v>
      </c>
      <c r="E923" t="s">
        <v>21</v>
      </c>
      <c r="F923" t="str">
        <f t="shared" si="14"/>
        <v>USD</v>
      </c>
    </row>
    <row r="924" spans="2:6" x14ac:dyDescent="0.35">
      <c r="B924" t="s">
        <v>1507</v>
      </c>
      <c r="C924" t="s">
        <v>1508</v>
      </c>
      <c r="D924" t="e">
        <v>#N/A</v>
      </c>
      <c r="E924" t="s">
        <v>21</v>
      </c>
      <c r="F924" t="str">
        <f t="shared" si="14"/>
        <v>USD</v>
      </c>
    </row>
    <row r="925" spans="2:6" x14ac:dyDescent="0.35">
      <c r="B925" t="s">
        <v>1509</v>
      </c>
      <c r="C925" t="s">
        <v>1510</v>
      </c>
      <c r="D925" t="e">
        <v>#N/A</v>
      </c>
      <c r="E925" t="s">
        <v>31</v>
      </c>
      <c r="F925" t="str">
        <f t="shared" si="14"/>
        <v>EUR</v>
      </c>
    </row>
    <row r="926" spans="2:6" x14ac:dyDescent="0.35">
      <c r="B926" t="s">
        <v>1511</v>
      </c>
      <c r="C926">
        <v>692861</v>
      </c>
      <c r="D926" t="e">
        <v>#N/A</v>
      </c>
      <c r="E926" t="s">
        <v>53</v>
      </c>
      <c r="F926" t="str">
        <f t="shared" si="14"/>
        <v>GBP</v>
      </c>
    </row>
    <row r="927" spans="2:6" x14ac:dyDescent="0.35">
      <c r="B927" t="s">
        <v>1512</v>
      </c>
      <c r="C927" t="s">
        <v>1513</v>
      </c>
      <c r="D927" t="e">
        <v>#N/A</v>
      </c>
      <c r="E927" t="s">
        <v>21</v>
      </c>
      <c r="F927" t="str">
        <f t="shared" si="14"/>
        <v>USD</v>
      </c>
    </row>
    <row r="928" spans="2:6" x14ac:dyDescent="0.35">
      <c r="B928" t="s">
        <v>1514</v>
      </c>
      <c r="C928">
        <v>2927925</v>
      </c>
      <c r="D928" t="e">
        <v>#N/A</v>
      </c>
      <c r="E928" t="s">
        <v>21</v>
      </c>
      <c r="F928" t="str">
        <f t="shared" si="14"/>
        <v>USD</v>
      </c>
    </row>
    <row r="929" spans="2:6" x14ac:dyDescent="0.35">
      <c r="B929" t="s">
        <v>1515</v>
      </c>
      <c r="C929" t="s">
        <v>1516</v>
      </c>
      <c r="D929" t="s">
        <v>1558</v>
      </c>
      <c r="F929" t="str">
        <f t="shared" si="14"/>
        <v>Australia</v>
      </c>
    </row>
    <row r="930" spans="2:6" x14ac:dyDescent="0.35">
      <c r="B930" t="s">
        <v>1517</v>
      </c>
      <c r="C930" t="s">
        <v>1518</v>
      </c>
      <c r="D930" t="e">
        <v>#N/A</v>
      </c>
      <c r="E930" t="s">
        <v>31</v>
      </c>
      <c r="F930" t="str">
        <f t="shared" si="14"/>
        <v>EUR</v>
      </c>
    </row>
    <row r="931" spans="2:6" x14ac:dyDescent="0.35">
      <c r="B931" t="s">
        <v>1519</v>
      </c>
      <c r="C931" t="s">
        <v>1520</v>
      </c>
      <c r="D931" t="e">
        <v>#N/A</v>
      </c>
      <c r="E931" t="s">
        <v>18</v>
      </c>
      <c r="F931" t="str">
        <f t="shared" si="14"/>
        <v>AUD</v>
      </c>
    </row>
    <row r="932" spans="2:6" x14ac:dyDescent="0.35">
      <c r="B932" t="s">
        <v>1521</v>
      </c>
      <c r="C932" t="s">
        <v>1522</v>
      </c>
      <c r="D932" t="e">
        <v>#N/A</v>
      </c>
      <c r="E932" t="s">
        <v>1554</v>
      </c>
      <c r="F932" t="str">
        <f t="shared" si="14"/>
        <v>US</v>
      </c>
    </row>
    <row r="933" spans="2:6" x14ac:dyDescent="0.35">
      <c r="B933" t="s">
        <v>1525</v>
      </c>
      <c r="C933">
        <v>6247306</v>
      </c>
      <c r="D933" t="s">
        <v>1558</v>
      </c>
      <c r="F933" t="str">
        <f t="shared" si="14"/>
        <v>Australia</v>
      </c>
    </row>
    <row r="934" spans="2:6" x14ac:dyDescent="0.35">
      <c r="B934" t="s">
        <v>1526</v>
      </c>
      <c r="C934" t="s">
        <v>1527</v>
      </c>
      <c r="D934" t="s">
        <v>1558</v>
      </c>
      <c r="F934" t="str">
        <f t="shared" si="14"/>
        <v>Australia</v>
      </c>
    </row>
    <row r="935" spans="2:6" x14ac:dyDescent="0.35">
      <c r="B935" t="s">
        <v>1528</v>
      </c>
      <c r="C935" t="s">
        <v>1529</v>
      </c>
      <c r="D935" t="e">
        <v>#N/A</v>
      </c>
      <c r="E935" t="s">
        <v>1549</v>
      </c>
      <c r="F935" t="str">
        <f t="shared" si="14"/>
        <v>AU</v>
      </c>
    </row>
    <row r="936" spans="2:6" x14ac:dyDescent="0.35">
      <c r="B936" t="s">
        <v>1530</v>
      </c>
      <c r="C936">
        <v>6200882</v>
      </c>
      <c r="D936" t="s">
        <v>1558</v>
      </c>
      <c r="F936" t="str">
        <f t="shared" si="14"/>
        <v>Australia</v>
      </c>
    </row>
  </sheetData>
  <autoFilter ref="B1:E936" xr:uid="{61C0C26F-E98E-4093-877D-505BF0B701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vision_cleaned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Dao</cp:lastModifiedBy>
  <dcterms:created xsi:type="dcterms:W3CDTF">2025-07-31T15:38:11Z</dcterms:created>
  <dcterms:modified xsi:type="dcterms:W3CDTF">2025-08-04T14:45:32Z</dcterms:modified>
</cp:coreProperties>
</file>