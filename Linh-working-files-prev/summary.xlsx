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nhDao\Programming\SUPERFUNdProject\Linh-working-files-prev\"/>
    </mc:Choice>
  </mc:AlternateContent>
  <xr:revisionPtr revIDLastSave="0" documentId="13_ncr:1_{701D085A-8B02-44D6-BB50-721E54F9EC88}" xr6:coauthVersionLast="47" xr6:coauthVersionMax="47" xr10:uidLastSave="{00000000-0000-0000-0000-000000000000}"/>
  <bookViews>
    <workbookView xWindow="2235" yWindow="8985" windowWidth="21930" windowHeight="11325" xr2:uid="{4C73C355-3E96-482B-963B-5E7AC90C9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9" i="1"/>
  <c r="E11" i="1"/>
  <c r="E10" i="1"/>
  <c r="E2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<sst xmlns="http://schemas.openxmlformats.org/spreadsheetml/2006/main" count="36" uniqueCount="29">
  <si>
    <t>SuperFund Name</t>
  </si>
  <si>
    <t>Cells that has value in LC</t>
  </si>
  <si>
    <t>Cells that successfully mapped</t>
  </si>
  <si>
    <t>% successful</t>
  </si>
  <si>
    <t>ArtSuper</t>
  </si>
  <si>
    <t>CareSuper</t>
  </si>
  <si>
    <t>Effective Date Fund Name Option Name Asset Class Name Name/Kind of Investment Item Stock ID Listed Country Value (AUD) 31/12/2024 Care Super Balanced Listed Equity Realindex Global Share Fund N/A 845131902.0</t>
  </si>
  <si>
    <t>Note</t>
  </si>
  <si>
    <t>Type</t>
  </si>
  <si>
    <t>BB ticker</t>
  </si>
  <si>
    <t>ISIN</t>
  </si>
  <si>
    <t>UniSuper</t>
  </si>
  <si>
    <t>Equip</t>
  </si>
  <si>
    <t>Hesta</t>
  </si>
  <si>
    <t>Aware</t>
  </si>
  <si>
    <t>Cbus</t>
  </si>
  <si>
    <t>Hostplus</t>
  </si>
  <si>
    <t>mix</t>
  </si>
  <si>
    <t>ngs</t>
  </si>
  <si>
    <t>rest</t>
  </si>
  <si>
    <t>vision</t>
  </si>
  <si>
    <t>ausie</t>
  </si>
  <si>
    <t>sedOL</t>
  </si>
  <si>
    <t>NOTE</t>
  </si>
  <si>
    <t>42- already fix BBTicker</t>
  </si>
  <si>
    <t>22- already fix</t>
  </si>
  <si>
    <t>29 - already fix</t>
  </si>
  <si>
    <t>30 - already fix</t>
  </si>
  <si>
    <t>SEDOL/ISIN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</si>
</sst>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1"/>
      <color rgb="FFA7DBF7"/>
      <name val="Consolas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9" fontId="3" fillId="3" borderId="1" xfId="0" applyNumberFormat="1" applyFont="1" applyFill="1" applyBorder="1"/>
    <xf numFmtId="10" fontId="3" fillId="3" borderId="1" xfId="0" applyNumberFormat="1" applyFont="1" applyFill="1" applyBorder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4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728B-29ED-4945-8793-563F1B225C34}">
  <dimension ref="A1:G13"/>
  <sheetViews>
    <sheetView tabSelected="1" zoomScale="140" zoomScaleNormal="140" workbookViewId="0">
      <selection activeCell="B15" sqref="B15"/>
    </sheetView>
  </sheetViews>
  <sheetFormatPr defaultRowHeight="15" x14ac:dyDescent="0.25"/>
  <cols>
    <col min="1" max="1" width="16.28515625" bestFit="1" customWidth="1"/>
    <col min="2" max="2" width="18.85546875" customWidth="1"/>
    <col min="3" max="3" width="27.42578125" customWidth="1"/>
    <col min="4" max="4" width="31.140625" customWidth="1"/>
    <col min="5" max="5" width="14.42578125" customWidth="1"/>
    <col min="7" max="7" width="18.5703125" bestFit="1" customWidth="1"/>
  </cols>
  <sheetData>
    <row r="1" spans="1:7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23</v>
      </c>
    </row>
    <row r="2" spans="1:7" x14ac:dyDescent="0.25">
      <c r="A2" s="3" t="s">
        <v>4</v>
      </c>
      <c r="B2" s="3" t="s">
        <v>9</v>
      </c>
      <c r="C2" s="3">
        <v>5229</v>
      </c>
      <c r="D2" s="3">
        <v>5229</v>
      </c>
      <c r="E2" s="5">
        <f>D2/C2*100%</f>
        <v>1</v>
      </c>
      <c r="F2" s="3"/>
      <c r="G2" s="3" t="s">
        <v>24</v>
      </c>
    </row>
    <row r="3" spans="1:7" x14ac:dyDescent="0.25">
      <c r="A3" s="3" t="s">
        <v>5</v>
      </c>
      <c r="B3" s="3" t="s">
        <v>9</v>
      </c>
      <c r="C3" s="3">
        <v>2118</v>
      </c>
      <c r="D3" s="3">
        <v>2118</v>
      </c>
      <c r="E3" s="5">
        <f t="shared" ref="E3:E9" si="0">D3/C3*100%</f>
        <v>1</v>
      </c>
      <c r="F3" s="6" t="s">
        <v>6</v>
      </c>
      <c r="G3" s="3" t="s">
        <v>25</v>
      </c>
    </row>
    <row r="4" spans="1:7" x14ac:dyDescent="0.25">
      <c r="A4" s="3" t="s">
        <v>11</v>
      </c>
      <c r="B4" s="3" t="s">
        <v>10</v>
      </c>
      <c r="C4" s="3">
        <v>3252</v>
      </c>
      <c r="D4" s="3">
        <v>3135</v>
      </c>
      <c r="E4" s="5">
        <f t="shared" si="0"/>
        <v>0.9640221402214022</v>
      </c>
      <c r="F4" s="3"/>
      <c r="G4" s="3"/>
    </row>
    <row r="5" spans="1:7" x14ac:dyDescent="0.25">
      <c r="A5" s="3" t="s">
        <v>12</v>
      </c>
      <c r="B5" s="3" t="s">
        <v>10</v>
      </c>
      <c r="C5" s="3">
        <v>1833</v>
      </c>
      <c r="D5" s="3">
        <v>1776</v>
      </c>
      <c r="E5" s="5">
        <f t="shared" si="0"/>
        <v>0.96890343698854342</v>
      </c>
      <c r="F5" s="3"/>
      <c r="G5" s="3"/>
    </row>
    <row r="6" spans="1:7" x14ac:dyDescent="0.25">
      <c r="A6" s="3" t="s">
        <v>13</v>
      </c>
      <c r="B6" s="3" t="s">
        <v>10</v>
      </c>
      <c r="C6" s="3">
        <v>2847</v>
      </c>
      <c r="D6" s="3">
        <v>2755</v>
      </c>
      <c r="E6" s="5">
        <f t="shared" si="0"/>
        <v>0.96768528275377586</v>
      </c>
      <c r="F6" s="3"/>
      <c r="G6" s="3"/>
    </row>
    <row r="7" spans="1:7" x14ac:dyDescent="0.25">
      <c r="A7" s="3" t="s">
        <v>14</v>
      </c>
      <c r="B7" s="3" t="s">
        <v>9</v>
      </c>
      <c r="C7" s="3">
        <v>2293</v>
      </c>
      <c r="D7" s="3">
        <v>2293</v>
      </c>
      <c r="E7" s="5">
        <f t="shared" si="0"/>
        <v>1</v>
      </c>
      <c r="F7" s="3"/>
      <c r="G7" s="3"/>
    </row>
    <row r="8" spans="1:7" x14ac:dyDescent="0.25">
      <c r="A8" s="3" t="s">
        <v>15</v>
      </c>
      <c r="B8" s="3" t="s">
        <v>28</v>
      </c>
      <c r="C8" s="3">
        <v>1964</v>
      </c>
      <c r="D8" s="3">
        <v>1936</v>
      </c>
      <c r="E8" s="5">
        <f t="shared" si="0"/>
        <v>0.98574338085539714</v>
      </c>
      <c r="F8" s="3"/>
      <c r="G8" s="3"/>
    </row>
    <row r="9" spans="1:7" x14ac:dyDescent="0.25">
      <c r="A9" s="3" t="s">
        <v>16</v>
      </c>
      <c r="B9" s="3" t="s">
        <v>17</v>
      </c>
      <c r="C9" s="3">
        <v>2306</v>
      </c>
      <c r="D9" s="3">
        <v>2257</v>
      </c>
      <c r="E9" s="5">
        <f t="shared" si="0"/>
        <v>0.97875108412836076</v>
      </c>
      <c r="F9" s="3"/>
      <c r="G9" s="3"/>
    </row>
    <row r="10" spans="1:7" x14ac:dyDescent="0.25">
      <c r="A10" s="3" t="s">
        <v>18</v>
      </c>
      <c r="B10" s="3" t="s">
        <v>9</v>
      </c>
      <c r="C10" s="3">
        <v>1780</v>
      </c>
      <c r="D10" s="3">
        <v>1780</v>
      </c>
      <c r="E10" s="4">
        <f>D10/C10*100%</f>
        <v>1</v>
      </c>
      <c r="F10" s="3"/>
      <c r="G10" s="3" t="s">
        <v>26</v>
      </c>
    </row>
    <row r="11" spans="1:7" x14ac:dyDescent="0.25">
      <c r="A11" s="3" t="s">
        <v>19</v>
      </c>
      <c r="B11" s="3" t="s">
        <v>9</v>
      </c>
      <c r="C11" s="3">
        <v>2034</v>
      </c>
      <c r="D11" s="3">
        <v>2034</v>
      </c>
      <c r="E11" s="4">
        <f>D11/C11*100%</f>
        <v>1</v>
      </c>
      <c r="F11" s="3"/>
      <c r="G11" s="3" t="s">
        <v>27</v>
      </c>
    </row>
    <row r="12" spans="1:7" x14ac:dyDescent="0.25">
      <c r="A12" s="3" t="s">
        <v>20</v>
      </c>
      <c r="B12" s="3" t="s">
        <v>22</v>
      </c>
      <c r="C12" s="3">
        <v>935</v>
      </c>
      <c r="D12" s="3">
        <v>906</v>
      </c>
      <c r="E12" s="4">
        <f>D12/C12*100%</f>
        <v>0.96898395721925135</v>
      </c>
      <c r="F12" s="3"/>
      <c r="G12" s="3"/>
    </row>
    <row r="13" spans="1:7" x14ac:dyDescent="0.25">
      <c r="A13" s="2" t="s">
        <v>21</v>
      </c>
      <c r="B13" s="2" t="s">
        <v>17</v>
      </c>
      <c r="C13" s="2"/>
      <c r="D13" s="2"/>
      <c r="E13" s="2"/>
      <c r="F13" s="2"/>
      <c r="G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Tran</dc:creator>
  <cp:lastModifiedBy>Thuong Tran</cp:lastModifiedBy>
  <dcterms:created xsi:type="dcterms:W3CDTF">2025-09-10T21:40:04Z</dcterms:created>
  <dcterms:modified xsi:type="dcterms:W3CDTF">2025-09-24T14:41:12Z</dcterms:modified>
</cp:coreProperties>
</file>